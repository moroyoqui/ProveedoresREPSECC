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83c10e6654db84/Documentos/proyectos/ProveedoresREPSE/"/>
    </mc:Choice>
  </mc:AlternateContent>
  <xr:revisionPtr revIDLastSave="0" documentId="8_{645E2CB0-2653-4CF3-83FD-E88972ED788A}" xr6:coauthVersionLast="47" xr6:coauthVersionMax="47" xr10:uidLastSave="{00000000-0000-0000-0000-000000000000}"/>
  <bookViews>
    <workbookView xWindow="-25320" yWindow="-780" windowWidth="25440" windowHeight="15270" xr2:uid="{92BFC143-4FAB-4396-B939-3556CDA79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63" i="1" l="1"/>
  <c r="U62" i="1"/>
  <c r="U61" i="1"/>
  <c r="U60" i="1"/>
  <c r="U59" i="1"/>
  <c r="U58" i="1"/>
  <c r="U57" i="1"/>
  <c r="U56" i="1"/>
  <c r="U55" i="1"/>
  <c r="U54" i="1"/>
  <c r="U52" i="1"/>
  <c r="U51" i="1"/>
  <c r="U50" i="1"/>
  <c r="U49" i="1"/>
  <c r="U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V58" i="1" l="1"/>
  <c r="V51" i="1"/>
  <c r="V63" i="1"/>
  <c r="V62" i="1"/>
  <c r="V57" i="1"/>
  <c r="V56" i="1"/>
  <c r="V49" i="1"/>
  <c r="V54" i="1"/>
  <c r="V52" i="1"/>
  <c r="V50" i="1"/>
  <c r="V61" i="1"/>
  <c r="V60" i="1"/>
  <c r="V48" i="1"/>
  <c r="V59" i="1"/>
  <c r="V55" i="1"/>
  <c r="AD38" i="1"/>
  <c r="AD44" i="1"/>
  <c r="AD43" i="1"/>
  <c r="AD40" i="1"/>
  <c r="AD39" i="1"/>
  <c r="AD37" i="1"/>
  <c r="AD36" i="1"/>
  <c r="AD35" i="1"/>
  <c r="AD34" i="1"/>
  <c r="AD33" i="1"/>
  <c r="AD32" i="1"/>
  <c r="AD31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30" i="1"/>
  <c r="AD46" i="1"/>
  <c r="AD45" i="1"/>
  <c r="AD47" i="1"/>
  <c r="AD42" i="1"/>
  <c r="AD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alondraculebro</author>
    <author>tc={0781E46B-C61B-4B9A-A032-9993EC14884E}</author>
    <author>tc={B341BE72-6C70-451A-9A1E-AAD889B54F49}</author>
  </authors>
  <commentList>
    <comment ref="U11" authorId="0" shapeId="0" xr:uid="{B06EFE94-56FB-4C70-BDF8-5FC472A564FD}">
      <text>
        <r>
          <rPr>
            <b/>
            <sz val="9"/>
            <color indexed="81"/>
            <rFont val="Tahoma"/>
            <family val="2"/>
          </rPr>
          <t>alondraculebro:</t>
        </r>
        <r>
          <rPr>
            <sz val="9"/>
            <color indexed="81"/>
            <rFont val="Tahoma"/>
            <family val="2"/>
          </rPr>
          <t xml:space="preserve">
Noviembre</t>
        </r>
      </text>
    </comment>
    <comment ref="P12" authorId="0" shapeId="0" xr:uid="{3BBCB1E6-4D0E-47A0-905E-8E02BC3C91D4}">
      <text>
        <r>
          <rPr>
            <b/>
            <sz val="9"/>
            <color indexed="81"/>
            <rFont val="Tahoma"/>
            <family val="2"/>
          </rPr>
          <t>alondraculebro:</t>
        </r>
        <r>
          <rPr>
            <sz val="9"/>
            <color indexed="81"/>
            <rFont val="Tahoma"/>
            <family val="2"/>
          </rPr>
          <t xml:space="preserve">
NO TIENE REFERENCIADA LA OBRA</t>
        </r>
      </text>
    </comment>
    <comment ref="P14" authorId="0" shapeId="0" xr:uid="{C5F5B954-7821-4346-8BB4-436D08DC3DA5}">
      <text>
        <r>
          <rPr>
            <b/>
            <sz val="9"/>
            <color indexed="81"/>
            <rFont val="Tahoma"/>
            <family val="2"/>
          </rPr>
          <t>alondraculebro:</t>
        </r>
        <r>
          <rPr>
            <sz val="9"/>
            <color indexed="81"/>
            <rFont val="Tahoma"/>
            <family val="2"/>
          </rPr>
          <t xml:space="preserve">
NO TIENE REFERENCIADA LA OBRA</t>
        </r>
      </text>
    </comment>
    <comment ref="AA44" authorId="1" shapeId="0" xr:uid="{0781E46B-C61B-4B9A-A032-9993EC14884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por error</t>
      </text>
    </comment>
    <comment ref="AA46" authorId="2" shapeId="0" xr:uid="{B341BE72-6C70-451A-9A1E-AAD889B54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por error</t>
      </text>
    </comment>
  </commentList>
</comments>
</file>

<file path=xl/sharedStrings.xml><?xml version="1.0" encoding="utf-8"?>
<sst xmlns="http://schemas.openxmlformats.org/spreadsheetml/2006/main" count="200" uniqueCount="74">
  <si>
    <t>NA</t>
  </si>
  <si>
    <t>OPINIONES POSITIVAS</t>
  </si>
  <si>
    <t>VALIDACIONES</t>
  </si>
  <si>
    <t>RECIBO DE NOMINA TRABAJADORES</t>
  </si>
  <si>
    <t>SEGURIDAD SOCIAL</t>
  </si>
  <si>
    <t>SIROC</t>
  </si>
  <si>
    <t>SAT</t>
  </si>
  <si>
    <t>INFORMES CUATRIMESTRALES SERVICOS ESPECIALIZADOS</t>
  </si>
  <si>
    <t>VALIDACION ESTATUS PROVEEDOR</t>
  </si>
  <si>
    <t>RUBRO</t>
  </si>
  <si>
    <t>PROVEEDOR</t>
  </si>
  <si>
    <t>GIRO /  ACTIVIDAD</t>
  </si>
  <si>
    <t>CORREO CONTACTO</t>
  </si>
  <si>
    <t># REGISTRO REPSE</t>
  </si>
  <si>
    <t>MES QUE CORRESPONDE LA INFORMACION</t>
  </si>
  <si>
    <t>IMSS</t>
  </si>
  <si>
    <t>INFONAVIT</t>
  </si>
  <si>
    <t>CONSTANCIA SAT</t>
  </si>
  <si>
    <t>VALIDAR EN PADRON EL REPSE</t>
  </si>
  <si>
    <t>CONTRATO VIGENTE</t>
  </si>
  <si>
    <t>LISTADO DE PERSONAL QUE INGRESA AL PARQUE</t>
  </si>
  <si>
    <t>NOMINA PDF</t>
  </si>
  <si>
    <t>NOMINA XML</t>
  </si>
  <si>
    <t>CEDULA DETERMINACION CUOTAS MENSUAL</t>
  </si>
  <si>
    <t>CEDULA DETERMINACION CUOTAS BIMESTRAL</t>
  </si>
  <si>
    <t>SIPARE</t>
  </si>
  <si>
    <t>COMPROBANTE PAGO SEGURIDAD SOCIAL</t>
  </si>
  <si>
    <t>ACUSE DE REGISTRO DE OBRA</t>
  </si>
  <si>
    <t xml:space="preserve">REPORTE BIMESTRAL DE AVANCE DE OBRA </t>
  </si>
  <si>
    <t>ACUSE DECLARACION MENSUAL IVA E ISR PROPIO</t>
  </si>
  <si>
    <t>COMPROBANTE PAGO/LLENADO DECLARACION IVA E ISR PROPIO</t>
  </si>
  <si>
    <t>ACUSE DECLARACION ISPT (ISR POR SALARIOS)</t>
  </si>
  <si>
    <t>COMPROBANTE PAGO/LLENADO DECLARACION ISPT</t>
  </si>
  <si>
    <t>ICSOE (IMSS)</t>
  </si>
  <si>
    <t>SISUB (INFONAVIT)</t>
  </si>
  <si>
    <t>PUNTOS A CONSIDERAR EN EL MES</t>
  </si>
  <si>
    <t>CUMPLIMIENTO</t>
  </si>
  <si>
    <t>COMENTARIOS</t>
  </si>
  <si>
    <t>OBSERVACIONES</t>
  </si>
  <si>
    <t>CONTRUCCION OBRA</t>
  </si>
  <si>
    <t>TRAMESON</t>
  </si>
  <si>
    <t>CM ELECTRICO</t>
  </si>
  <si>
    <t>SERVICIO ESPECIALIZADO</t>
  </si>
  <si>
    <t>LEYRA CAROLINA VALDEZ SOBERANES</t>
  </si>
  <si>
    <t>CONSTRUCCIÓN OBRA</t>
  </si>
  <si>
    <t>RONO</t>
  </si>
  <si>
    <t>CEMEX</t>
  </si>
  <si>
    <t>TRABAJOS DE ELECTRICIDAD</t>
  </si>
  <si>
    <t>HERRAMIENTAS Y SOPORTE EN MANUFACTURA</t>
  </si>
  <si>
    <t>COMERCIO DE MAQUINARIA Y EQUIPO</t>
  </si>
  <si>
    <t>FABRICACION DE PRODUCTOS METALICOS FORJADOS Y TROQUELADOS</t>
  </si>
  <si>
    <t>OBRA Y PROYECTOS OKU</t>
  </si>
  <si>
    <t>OTRAS CONSTRUCCIONES DE INGENIERIA CIVIL U OBRA POESADA</t>
  </si>
  <si>
    <t>CONSTRUCTORA RONO</t>
  </si>
  <si>
    <t>TRABAJOS EN BODEGA 3</t>
  </si>
  <si>
    <t>JUAN RUELAS</t>
  </si>
  <si>
    <t>PLOMERIA</t>
  </si>
  <si>
    <t xml:space="preserve">PENDIENTE </t>
  </si>
  <si>
    <t>cmelectric@hotmail.com</t>
  </si>
  <si>
    <t>CONCRETOS ROCAMAR</t>
  </si>
  <si>
    <t>FABRICACION DE CONCRETO</t>
  </si>
  <si>
    <t>OBRA Y PROYECROS OKU</t>
  </si>
  <si>
    <t>PUERTAS</t>
  </si>
  <si>
    <t>CONSTRUCCION OBRA</t>
  </si>
  <si>
    <t>JUAN ALFREDO RUELAS BARAY</t>
  </si>
  <si>
    <t>AR148237/2024</t>
  </si>
  <si>
    <t>AR189010/2025</t>
  </si>
  <si>
    <t>ELISA SOFIA LUGO  SANCHEZ</t>
  </si>
  <si>
    <t>REPARACION Y MANTENIMIENTO DE MAQUINARIA</t>
  </si>
  <si>
    <t>indmarplayitas@hotmail.com</t>
  </si>
  <si>
    <t>AR199899/2025</t>
  </si>
  <si>
    <t>JOSE ALFREDO SOTELO ESPINOZA</t>
  </si>
  <si>
    <t xml:space="preserve">PREPARACION DE TERRENOS PARA A CONSTRUCCION </t>
  </si>
  <si>
    <t>ing.morales.laurian@gmail.com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</si>
</sst>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9BD0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8" fillId="0" borderId="0" xfId="2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9" fontId="5" fillId="0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7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14" fontId="6" fillId="0" borderId="0" xfId="0" applyNumberFormat="1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ina Villegas" id="{DE603AA8-6F7C-4AFF-98BA-5C44632F0DCE}" userId="S::contador@inverbay.com::e9a5f7c7-a452-415b-9871-5a9afbba754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4" dT="2025-09-10T19:32:20.17" personId="{DE603AA8-6F7C-4AFF-98BA-5C44632F0DCE}" id="{0781E46B-C61B-4B9A-A032-9993EC14884E}">
    <text>Pendiente por error</text>
  </threadedComment>
  <threadedComment ref="AA46" dT="2025-09-10T19:32:20.17" personId="{DE603AA8-6F7C-4AFF-98BA-5C44632F0DCE}" id="{B341BE72-6C70-451A-9A1E-AAD889B54F49}">
    <text>Pendiente por error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8459-4798-4423-98B9-D9D08D224222}">
  <dimension ref="A1:AE63"/>
  <sheetViews>
    <sheetView tabSelected="1" workbookViewId="0">
      <selection activeCell="D12" sqref="D12"/>
    </sheetView>
  </sheetViews>
  <sheetFormatPr defaultColWidth="10.88671875" defaultRowHeight="14.4" x14ac:dyDescent="0.3"/>
  <sheetData>
    <row r="1" spans="1:31" x14ac:dyDescent="0.3">
      <c r="A1" s="2"/>
      <c r="B1" s="1"/>
      <c r="C1" s="2"/>
      <c r="D1" s="2"/>
      <c r="E1" s="3"/>
      <c r="F1" s="3"/>
      <c r="G1" s="5" t="s">
        <v>1</v>
      </c>
      <c r="H1" s="5"/>
      <c r="I1" s="5"/>
      <c r="J1" s="6" t="s">
        <v>2</v>
      </c>
      <c r="K1" s="7"/>
      <c r="L1" s="7"/>
      <c r="M1" s="8"/>
      <c r="N1" s="6" t="s">
        <v>3</v>
      </c>
      <c r="O1" s="8"/>
      <c r="P1" s="5" t="s">
        <v>4</v>
      </c>
      <c r="Q1" s="5"/>
      <c r="R1" s="5"/>
      <c r="S1" s="5"/>
      <c r="T1" s="6" t="s">
        <v>5</v>
      </c>
      <c r="U1" s="8"/>
      <c r="V1" s="6" t="s">
        <v>6</v>
      </c>
      <c r="W1" s="7"/>
      <c r="X1" s="7"/>
      <c r="Y1" s="8"/>
      <c r="Z1" s="5" t="s">
        <v>7</v>
      </c>
      <c r="AA1" s="6"/>
      <c r="AB1" s="9"/>
      <c r="AC1" s="5" t="s">
        <v>8</v>
      </c>
      <c r="AD1" s="5"/>
      <c r="AE1" s="2"/>
    </row>
    <row r="2" spans="1:31" ht="110.4" x14ac:dyDescent="0.3">
      <c r="A2" s="10" t="s">
        <v>9</v>
      </c>
      <c r="B2" s="11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6</v>
      </c>
      <c r="H2" s="12" t="s">
        <v>15</v>
      </c>
      <c r="I2" s="12" t="s">
        <v>16</v>
      </c>
      <c r="J2" s="13" t="s">
        <v>17</v>
      </c>
      <c r="K2" s="13" t="s">
        <v>18</v>
      </c>
      <c r="L2" s="13" t="s">
        <v>19</v>
      </c>
      <c r="M2" s="14" t="s">
        <v>20</v>
      </c>
      <c r="N2" s="12" t="s">
        <v>21</v>
      </c>
      <c r="O2" s="13" t="s">
        <v>22</v>
      </c>
      <c r="P2" s="13" t="s">
        <v>23</v>
      </c>
      <c r="Q2" s="13" t="s">
        <v>24</v>
      </c>
      <c r="R2" s="13" t="s">
        <v>25</v>
      </c>
      <c r="S2" s="13" t="s">
        <v>26</v>
      </c>
      <c r="T2" s="12" t="s">
        <v>27</v>
      </c>
      <c r="U2" s="12" t="s">
        <v>28</v>
      </c>
      <c r="V2" s="12" t="s">
        <v>29</v>
      </c>
      <c r="W2" s="12" t="s">
        <v>30</v>
      </c>
      <c r="X2" s="12" t="s">
        <v>31</v>
      </c>
      <c r="Y2" s="12" t="s">
        <v>32</v>
      </c>
      <c r="Z2" s="12" t="s">
        <v>33</v>
      </c>
      <c r="AA2" s="12" t="s">
        <v>34</v>
      </c>
      <c r="AB2" s="12" t="s">
        <v>35</v>
      </c>
      <c r="AC2" s="12" t="s">
        <v>36</v>
      </c>
      <c r="AD2" s="12" t="s">
        <v>37</v>
      </c>
      <c r="AE2" s="12" t="s">
        <v>38</v>
      </c>
    </row>
    <row r="3" spans="1:31" x14ac:dyDescent="0.3">
      <c r="A3" s="15" t="s">
        <v>39</v>
      </c>
      <c r="B3" s="16" t="s">
        <v>40</v>
      </c>
      <c r="C3" s="15"/>
      <c r="D3" s="15"/>
      <c r="E3" s="17"/>
      <c r="F3" s="18">
        <v>45352</v>
      </c>
      <c r="G3" s="19"/>
      <c r="H3" s="19"/>
      <c r="I3" s="19"/>
      <c r="J3" s="19"/>
      <c r="K3" s="19">
        <v>2</v>
      </c>
      <c r="L3" s="19">
        <v>2</v>
      </c>
      <c r="M3" s="19"/>
      <c r="N3" s="19">
        <v>2</v>
      </c>
      <c r="O3" s="19">
        <v>2</v>
      </c>
      <c r="P3" s="19">
        <v>1</v>
      </c>
      <c r="Q3" s="19">
        <v>0</v>
      </c>
      <c r="R3" s="19">
        <v>2</v>
      </c>
      <c r="S3" s="19">
        <v>2</v>
      </c>
      <c r="T3" s="19"/>
      <c r="U3" s="19"/>
      <c r="V3" s="19">
        <v>2</v>
      </c>
      <c r="W3" s="19">
        <v>2</v>
      </c>
      <c r="X3" s="19">
        <v>2</v>
      </c>
      <c r="Y3" s="19">
        <v>2</v>
      </c>
      <c r="Z3" s="19">
        <v>0</v>
      </c>
      <c r="AA3" s="19">
        <v>0</v>
      </c>
      <c r="AB3" s="19">
        <v>21</v>
      </c>
      <c r="AC3" s="20">
        <f>(COUNTIF(G3:AA3,#REF!)+ COUNTIF(G3:AA3,#REF!))/AB3</f>
        <v>0</v>
      </c>
      <c r="AD3" s="21" t="str">
        <f t="shared" ref="AD3:AD47" si="0">IF(AC3=100%, "Cumplido","Incumplido")</f>
        <v>Incumplido</v>
      </c>
      <c r="AE3" s="22"/>
    </row>
    <row r="4" spans="1:31" x14ac:dyDescent="0.3">
      <c r="A4" s="15" t="s">
        <v>39</v>
      </c>
      <c r="B4" s="16" t="s">
        <v>40</v>
      </c>
      <c r="C4" s="15"/>
      <c r="D4" s="15"/>
      <c r="E4" s="17"/>
      <c r="F4" s="18">
        <v>45383</v>
      </c>
      <c r="G4" s="19"/>
      <c r="H4" s="19"/>
      <c r="I4" s="19"/>
      <c r="J4" s="19"/>
      <c r="K4" s="19">
        <v>2</v>
      </c>
      <c r="L4" s="19">
        <v>2</v>
      </c>
      <c r="M4" s="19"/>
      <c r="N4" s="19">
        <v>2</v>
      </c>
      <c r="O4" s="19">
        <v>2</v>
      </c>
      <c r="P4" s="19">
        <v>1</v>
      </c>
      <c r="Q4" s="19">
        <v>0</v>
      </c>
      <c r="R4" s="19">
        <v>2</v>
      </c>
      <c r="S4" s="19">
        <v>2</v>
      </c>
      <c r="T4" s="19"/>
      <c r="U4" s="19"/>
      <c r="V4" s="19">
        <v>2</v>
      </c>
      <c r="W4" s="19">
        <v>2</v>
      </c>
      <c r="X4" s="19">
        <v>2</v>
      </c>
      <c r="Y4" s="19">
        <v>2</v>
      </c>
      <c r="Z4" s="19">
        <v>0</v>
      </c>
      <c r="AA4" s="19">
        <v>0</v>
      </c>
      <c r="AB4" s="19">
        <v>21</v>
      </c>
      <c r="AC4" s="20">
        <f>(COUNTIF(G4:AA4,#REF!)+ COUNTIF(G4:AA4,#REF!))/AB4</f>
        <v>0</v>
      </c>
      <c r="AD4" s="21" t="str">
        <f t="shared" si="0"/>
        <v>Incumplido</v>
      </c>
      <c r="AE4" s="22"/>
    </row>
    <row r="5" spans="1:31" x14ac:dyDescent="0.3">
      <c r="A5" s="15" t="s">
        <v>39</v>
      </c>
      <c r="B5" s="16" t="s">
        <v>40</v>
      </c>
      <c r="C5" s="15"/>
      <c r="D5" s="15"/>
      <c r="E5" s="17"/>
      <c r="F5" s="18">
        <v>45413</v>
      </c>
      <c r="G5" s="19"/>
      <c r="H5" s="19"/>
      <c r="I5" s="19"/>
      <c r="J5" s="19"/>
      <c r="K5" s="19">
        <v>2</v>
      </c>
      <c r="L5" s="19">
        <v>2</v>
      </c>
      <c r="M5" s="19"/>
      <c r="N5" s="19">
        <v>2</v>
      </c>
      <c r="O5" s="19">
        <v>2</v>
      </c>
      <c r="P5" s="19">
        <v>1</v>
      </c>
      <c r="Q5" s="19">
        <v>0</v>
      </c>
      <c r="R5" s="19">
        <v>2</v>
      </c>
      <c r="S5" s="19">
        <v>2</v>
      </c>
      <c r="T5" s="19"/>
      <c r="U5" s="19"/>
      <c r="V5" s="19">
        <v>2</v>
      </c>
      <c r="W5" s="19">
        <v>2</v>
      </c>
      <c r="X5" s="19">
        <v>2</v>
      </c>
      <c r="Y5" s="19">
        <v>2</v>
      </c>
      <c r="Z5" s="19">
        <v>0</v>
      </c>
      <c r="AA5" s="19">
        <v>0</v>
      </c>
      <c r="AB5" s="19">
        <v>21</v>
      </c>
      <c r="AC5" s="20">
        <f>(COUNTIF(G5:AA5,#REF!)+ COUNTIF(G5:AA5,#REF!))/AB5</f>
        <v>0</v>
      </c>
      <c r="AD5" s="21" t="str">
        <f t="shared" si="0"/>
        <v>Incumplido</v>
      </c>
      <c r="AE5" s="22"/>
    </row>
    <row r="6" spans="1:31" x14ac:dyDescent="0.3">
      <c r="A6" s="15" t="s">
        <v>39</v>
      </c>
      <c r="B6" s="16" t="s">
        <v>40</v>
      </c>
      <c r="C6" s="15"/>
      <c r="D6" s="15"/>
      <c r="E6" s="17"/>
      <c r="F6" s="18">
        <v>45444</v>
      </c>
      <c r="G6" s="19"/>
      <c r="H6" s="19"/>
      <c r="I6" s="19"/>
      <c r="J6" s="19"/>
      <c r="K6" s="19">
        <v>2</v>
      </c>
      <c r="L6" s="19">
        <v>2</v>
      </c>
      <c r="M6" s="19"/>
      <c r="N6" s="19">
        <v>2</v>
      </c>
      <c r="O6" s="19">
        <v>2</v>
      </c>
      <c r="P6" s="19">
        <v>1</v>
      </c>
      <c r="Q6" s="19">
        <v>0</v>
      </c>
      <c r="R6" s="19">
        <v>2</v>
      </c>
      <c r="S6" s="19">
        <v>2</v>
      </c>
      <c r="T6" s="19"/>
      <c r="U6" s="19"/>
      <c r="V6" s="19">
        <v>2</v>
      </c>
      <c r="W6" s="19">
        <v>2</v>
      </c>
      <c r="X6" s="19">
        <v>2</v>
      </c>
      <c r="Y6" s="19">
        <v>2</v>
      </c>
      <c r="Z6" s="19">
        <v>0</v>
      </c>
      <c r="AA6" s="19">
        <v>0</v>
      </c>
      <c r="AB6" s="19">
        <v>21</v>
      </c>
      <c r="AC6" s="20">
        <f>(COUNTIF(G6:AA6,#REF!)+ COUNTIF(G6:AA6,#REF!))/AB6</f>
        <v>0</v>
      </c>
      <c r="AD6" s="21" t="str">
        <f t="shared" si="0"/>
        <v>Incumplido</v>
      </c>
      <c r="AE6" s="22"/>
    </row>
    <row r="7" spans="1:31" x14ac:dyDescent="0.3">
      <c r="A7" s="15" t="s">
        <v>39</v>
      </c>
      <c r="B7" s="16" t="s">
        <v>40</v>
      </c>
      <c r="C7" s="15"/>
      <c r="D7" s="15"/>
      <c r="E7" s="17"/>
      <c r="F7" s="18">
        <v>45474</v>
      </c>
      <c r="G7" s="19"/>
      <c r="H7" s="19"/>
      <c r="I7" s="19"/>
      <c r="J7" s="19"/>
      <c r="K7" s="19">
        <v>2</v>
      </c>
      <c r="L7" s="19">
        <v>2</v>
      </c>
      <c r="M7" s="19"/>
      <c r="N7" s="19">
        <v>2</v>
      </c>
      <c r="O7" s="19">
        <v>2</v>
      </c>
      <c r="P7" s="19">
        <v>1</v>
      </c>
      <c r="Q7" s="19">
        <v>0</v>
      </c>
      <c r="R7" s="19">
        <v>2</v>
      </c>
      <c r="S7" s="19">
        <v>2</v>
      </c>
      <c r="T7" s="19"/>
      <c r="U7" s="19"/>
      <c r="V7" s="19">
        <v>2</v>
      </c>
      <c r="W7" s="19">
        <v>2</v>
      </c>
      <c r="X7" s="19">
        <v>2</v>
      </c>
      <c r="Y7" s="19">
        <v>2</v>
      </c>
      <c r="Z7" s="19">
        <v>0</v>
      </c>
      <c r="AA7" s="19">
        <v>0</v>
      </c>
      <c r="AB7" s="19">
        <v>21</v>
      </c>
      <c r="AC7" s="20">
        <f>(COUNTIF(G7:AA7,#REF!)+ COUNTIF(G7:AA7,#REF!))/AB7</f>
        <v>0</v>
      </c>
      <c r="AD7" s="21" t="str">
        <f t="shared" si="0"/>
        <v>Incumplido</v>
      </c>
      <c r="AE7" s="22"/>
    </row>
    <row r="8" spans="1:31" x14ac:dyDescent="0.3">
      <c r="A8" s="15" t="s">
        <v>39</v>
      </c>
      <c r="B8" s="16" t="s">
        <v>40</v>
      </c>
      <c r="C8" s="15"/>
      <c r="D8" s="15"/>
      <c r="E8" s="17"/>
      <c r="F8" s="18">
        <v>45505</v>
      </c>
      <c r="G8" s="19"/>
      <c r="H8" s="19"/>
      <c r="I8" s="19"/>
      <c r="J8" s="19"/>
      <c r="K8" s="19">
        <v>2</v>
      </c>
      <c r="L8" s="19">
        <v>2</v>
      </c>
      <c r="M8" s="19"/>
      <c r="N8" s="19">
        <v>2</v>
      </c>
      <c r="O8" s="19">
        <v>2</v>
      </c>
      <c r="P8" s="23">
        <v>1</v>
      </c>
      <c r="Q8" s="19">
        <v>0</v>
      </c>
      <c r="R8" s="19">
        <v>2</v>
      </c>
      <c r="S8" s="19">
        <v>2</v>
      </c>
      <c r="T8" s="19"/>
      <c r="U8" s="19"/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21</v>
      </c>
      <c r="AC8" s="20">
        <f>(COUNTIF(G8:AA8,#REF!)+ COUNTIF(G8:AA8,#REF!))/AB8</f>
        <v>0</v>
      </c>
      <c r="AD8" s="21" t="str">
        <f t="shared" si="0"/>
        <v>Incumplido</v>
      </c>
      <c r="AE8" s="22"/>
    </row>
    <row r="9" spans="1:31" x14ac:dyDescent="0.3">
      <c r="A9" s="15" t="s">
        <v>39</v>
      </c>
      <c r="B9" s="16" t="s">
        <v>40</v>
      </c>
      <c r="C9" s="15"/>
      <c r="D9" s="15"/>
      <c r="E9" s="17"/>
      <c r="F9" s="18">
        <v>45536</v>
      </c>
      <c r="G9" s="24"/>
      <c r="H9" s="24"/>
      <c r="I9" s="24"/>
      <c r="J9" s="24"/>
      <c r="K9" s="24">
        <v>2</v>
      </c>
      <c r="L9" s="24">
        <v>2</v>
      </c>
      <c r="M9" s="24"/>
      <c r="N9" s="24">
        <v>2</v>
      </c>
      <c r="O9" s="24">
        <v>2</v>
      </c>
      <c r="P9" s="25">
        <v>1</v>
      </c>
      <c r="Q9" s="19">
        <v>0</v>
      </c>
      <c r="R9" s="19">
        <v>2</v>
      </c>
      <c r="S9" s="19">
        <v>2</v>
      </c>
      <c r="T9" s="19"/>
      <c r="U9" s="19"/>
      <c r="V9" s="19">
        <v>2</v>
      </c>
      <c r="W9" s="19">
        <v>2</v>
      </c>
      <c r="X9" s="19">
        <v>2</v>
      </c>
      <c r="Y9" s="19">
        <v>2</v>
      </c>
      <c r="Z9" s="19">
        <v>0</v>
      </c>
      <c r="AA9" s="19">
        <v>0</v>
      </c>
      <c r="AB9" s="19">
        <v>21</v>
      </c>
      <c r="AC9" s="20">
        <f>(COUNTIF(G9:AA9,#REF!)+ COUNTIF(G9:AA9,#REF!))/AB9</f>
        <v>0</v>
      </c>
      <c r="AD9" s="26" t="str">
        <f t="shared" si="0"/>
        <v>Incumplido</v>
      </c>
      <c r="AE9" s="27"/>
    </row>
    <row r="10" spans="1:31" x14ac:dyDescent="0.3">
      <c r="A10" s="15" t="s">
        <v>39</v>
      </c>
      <c r="B10" s="16" t="s">
        <v>40</v>
      </c>
      <c r="C10" s="28"/>
      <c r="D10" s="28"/>
      <c r="E10" s="29"/>
      <c r="F10" s="30">
        <v>45566</v>
      </c>
      <c r="G10" s="19">
        <v>2</v>
      </c>
      <c r="H10" s="19">
        <v>2</v>
      </c>
      <c r="I10" s="19">
        <v>2</v>
      </c>
      <c r="J10" s="19">
        <v>2</v>
      </c>
      <c r="K10" s="19">
        <v>2</v>
      </c>
      <c r="L10" s="19">
        <v>2</v>
      </c>
      <c r="M10" s="19"/>
      <c r="N10" s="19">
        <v>2</v>
      </c>
      <c r="O10" s="19">
        <v>2</v>
      </c>
      <c r="P10" s="19">
        <v>2</v>
      </c>
      <c r="Q10" s="19">
        <v>0</v>
      </c>
      <c r="R10" s="19">
        <v>2</v>
      </c>
      <c r="S10" s="19">
        <v>2</v>
      </c>
      <c r="T10" s="19">
        <v>2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21</v>
      </c>
      <c r="AC10" s="20">
        <f>(COUNTIF(G10:AA10,#REF!)+ COUNTIF(G10:AA10,#REF!))/AB10</f>
        <v>0</v>
      </c>
      <c r="AD10" s="31" t="str">
        <f>IF(AC10=100%, "Cumplido","Incumplido")</f>
        <v>Incumplido</v>
      </c>
      <c r="AE10" s="31"/>
    </row>
    <row r="11" spans="1:31" x14ac:dyDescent="0.3">
      <c r="A11" s="15" t="s">
        <v>39</v>
      </c>
      <c r="B11" s="15" t="s">
        <v>41</v>
      </c>
      <c r="C11" s="15"/>
      <c r="D11" s="15"/>
      <c r="E11" s="17"/>
      <c r="F11" s="18">
        <v>45352</v>
      </c>
      <c r="G11" s="19"/>
      <c r="H11" s="19"/>
      <c r="I11" s="19"/>
      <c r="J11" s="19"/>
      <c r="K11" s="19">
        <v>2</v>
      </c>
      <c r="L11" s="19">
        <v>2</v>
      </c>
      <c r="M11" s="19"/>
      <c r="N11" s="19" t="s">
        <v>0</v>
      </c>
      <c r="O11" s="19" t="s">
        <v>0</v>
      </c>
      <c r="P11" s="19" t="s">
        <v>0</v>
      </c>
      <c r="Q11" s="19">
        <v>2</v>
      </c>
      <c r="R11" s="19">
        <v>2</v>
      </c>
      <c r="S11" s="19">
        <v>2</v>
      </c>
      <c r="T11" s="19">
        <v>2</v>
      </c>
      <c r="U11" s="19">
        <v>2</v>
      </c>
      <c r="V11" s="19">
        <v>2</v>
      </c>
      <c r="W11" s="19">
        <v>2</v>
      </c>
      <c r="X11" s="19">
        <v>2</v>
      </c>
      <c r="Y11" s="19">
        <v>2</v>
      </c>
      <c r="Z11" s="19">
        <v>2</v>
      </c>
      <c r="AA11" s="19">
        <v>2</v>
      </c>
      <c r="AB11" s="19"/>
      <c r="AC11" s="20" t="e">
        <f>(COUNTIF(G11:AA11,#REF!)+ COUNTIF(G11:AA11,#REF!))/AB11</f>
        <v>#DIV/0!</v>
      </c>
      <c r="AD11" s="32" t="e">
        <f t="shared" si="0"/>
        <v>#DIV/0!</v>
      </c>
      <c r="AE11" s="33"/>
    </row>
    <row r="12" spans="1:31" x14ac:dyDescent="0.3">
      <c r="A12" s="15" t="s">
        <v>39</v>
      </c>
      <c r="B12" s="15" t="s">
        <v>41</v>
      </c>
      <c r="C12" s="31"/>
      <c r="D12" s="31"/>
      <c r="E12" s="17"/>
      <c r="F12" s="18">
        <v>45383</v>
      </c>
      <c r="G12" s="19"/>
      <c r="H12" s="19"/>
      <c r="I12" s="19"/>
      <c r="J12" s="19"/>
      <c r="K12" s="19">
        <v>2</v>
      </c>
      <c r="L12" s="19">
        <v>2</v>
      </c>
      <c r="M12" s="19"/>
      <c r="N12" s="19">
        <v>2</v>
      </c>
      <c r="O12" s="19">
        <v>2</v>
      </c>
      <c r="P12" s="23">
        <v>1</v>
      </c>
      <c r="Q12" s="19">
        <v>2</v>
      </c>
      <c r="R12" s="19">
        <v>2</v>
      </c>
      <c r="S12" s="19">
        <v>2</v>
      </c>
      <c r="T12" s="19">
        <v>2</v>
      </c>
      <c r="U12" s="19" t="s">
        <v>0</v>
      </c>
      <c r="V12" s="19">
        <v>2</v>
      </c>
      <c r="W12" s="19">
        <v>2</v>
      </c>
      <c r="X12" s="19">
        <v>2</v>
      </c>
      <c r="Y12" s="19">
        <v>2</v>
      </c>
      <c r="Z12" s="19">
        <v>2</v>
      </c>
      <c r="AA12" s="19">
        <v>2</v>
      </c>
      <c r="AB12" s="19"/>
      <c r="AC12" s="20" t="e">
        <f>(COUNTIF(G12:AA12,#REF!)+ COUNTIF(G12:AA12,#REF!))/AB12</f>
        <v>#DIV/0!</v>
      </c>
      <c r="AD12" s="21" t="e">
        <f t="shared" si="0"/>
        <v>#DIV/0!</v>
      </c>
      <c r="AE12" s="22"/>
    </row>
    <row r="13" spans="1:31" x14ac:dyDescent="0.3">
      <c r="A13" s="15" t="s">
        <v>39</v>
      </c>
      <c r="B13" s="15" t="s">
        <v>41</v>
      </c>
      <c r="C13" s="15"/>
      <c r="D13" s="34"/>
      <c r="E13" s="17"/>
      <c r="F13" s="17"/>
      <c r="G13" s="19"/>
      <c r="H13" s="19"/>
      <c r="I13" s="19"/>
      <c r="J13" s="19"/>
      <c r="K13" s="19"/>
      <c r="L13" s="19">
        <v>2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0" t="e">
        <f>(COUNTIF(G13:AA13,#REF!)+ COUNTIF(G13:AA13,#REF!))/AB13</f>
        <v>#DIV/0!</v>
      </c>
      <c r="AD13" s="21" t="e">
        <f t="shared" si="0"/>
        <v>#DIV/0!</v>
      </c>
      <c r="AE13" s="22"/>
    </row>
    <row r="14" spans="1:31" x14ac:dyDescent="0.3">
      <c r="A14" s="15" t="s">
        <v>39</v>
      </c>
      <c r="B14" s="15" t="s">
        <v>41</v>
      </c>
      <c r="C14" s="16"/>
      <c r="D14" s="16"/>
      <c r="E14" s="29"/>
      <c r="F14" s="30">
        <v>45413</v>
      </c>
      <c r="G14" s="19"/>
      <c r="H14" s="19"/>
      <c r="I14" s="19"/>
      <c r="J14" s="19"/>
      <c r="K14" s="19">
        <v>2</v>
      </c>
      <c r="L14" s="19">
        <v>2</v>
      </c>
      <c r="M14" s="19"/>
      <c r="N14" s="19">
        <v>2</v>
      </c>
      <c r="O14" s="19">
        <v>2</v>
      </c>
      <c r="P14" s="19">
        <v>1</v>
      </c>
      <c r="Q14" s="19">
        <v>2</v>
      </c>
      <c r="R14" s="19">
        <v>2</v>
      </c>
      <c r="S14" s="19">
        <v>2</v>
      </c>
      <c r="T14" s="19">
        <v>2</v>
      </c>
      <c r="U14" s="19" t="s">
        <v>0</v>
      </c>
      <c r="V14" s="19">
        <v>2</v>
      </c>
      <c r="W14" s="19">
        <v>2</v>
      </c>
      <c r="X14" s="19">
        <v>2</v>
      </c>
      <c r="Y14" s="19">
        <v>2</v>
      </c>
      <c r="Z14" s="19">
        <v>2</v>
      </c>
      <c r="AA14" s="19">
        <v>2</v>
      </c>
      <c r="AB14" s="19"/>
      <c r="AC14" s="20" t="e">
        <f>(COUNTIF(G14:AA14,#REF!)+ COUNTIF(G14:AA14,#REF!))/AB14</f>
        <v>#DIV/0!</v>
      </c>
      <c r="AD14" s="21" t="e">
        <f t="shared" si="0"/>
        <v>#DIV/0!</v>
      </c>
      <c r="AE14" s="22"/>
    </row>
    <row r="15" spans="1:31" x14ac:dyDescent="0.3">
      <c r="A15" s="15" t="s">
        <v>39</v>
      </c>
      <c r="B15" s="15" t="s">
        <v>41</v>
      </c>
      <c r="C15" s="31"/>
      <c r="D15" s="31"/>
      <c r="E15" s="17"/>
      <c r="F15" s="18">
        <v>45444</v>
      </c>
      <c r="G15" s="19"/>
      <c r="H15" s="19"/>
      <c r="I15" s="19"/>
      <c r="J15" s="19"/>
      <c r="K15" s="19">
        <v>2</v>
      </c>
      <c r="L15" s="19">
        <v>2</v>
      </c>
      <c r="M15" s="19"/>
      <c r="N15" s="19">
        <v>2</v>
      </c>
      <c r="O15" s="19">
        <v>2</v>
      </c>
      <c r="P15" s="19">
        <v>2</v>
      </c>
      <c r="Q15" s="19">
        <v>2</v>
      </c>
      <c r="R15" s="19">
        <v>2</v>
      </c>
      <c r="S15" s="19">
        <v>2</v>
      </c>
      <c r="T15" s="19">
        <v>2</v>
      </c>
      <c r="U15" s="19" t="s">
        <v>0</v>
      </c>
      <c r="V15" s="19">
        <v>2</v>
      </c>
      <c r="W15" s="19">
        <v>2</v>
      </c>
      <c r="X15" s="19">
        <v>2</v>
      </c>
      <c r="Y15" s="19">
        <v>2</v>
      </c>
      <c r="Z15" s="19">
        <v>2</v>
      </c>
      <c r="AA15" s="19">
        <v>2</v>
      </c>
      <c r="AB15" s="19"/>
      <c r="AC15" s="20" t="e">
        <f>(COUNTIF(G15:AA15,#REF!)+ COUNTIF(G15:AA15,#REF!))/AB15</f>
        <v>#DIV/0!</v>
      </c>
      <c r="AD15" s="21" t="e">
        <f t="shared" si="0"/>
        <v>#DIV/0!</v>
      </c>
      <c r="AE15" s="22"/>
    </row>
    <row r="16" spans="1:31" x14ac:dyDescent="0.3">
      <c r="A16" s="15" t="s">
        <v>39</v>
      </c>
      <c r="B16" s="15" t="s">
        <v>41</v>
      </c>
      <c r="C16" s="16"/>
      <c r="D16" s="16"/>
      <c r="E16" s="29"/>
      <c r="F16" s="30">
        <v>45474</v>
      </c>
      <c r="G16" s="19">
        <v>2</v>
      </c>
      <c r="H16" s="19">
        <v>2</v>
      </c>
      <c r="I16" s="19"/>
      <c r="J16" s="19"/>
      <c r="K16" s="19">
        <v>2</v>
      </c>
      <c r="L16" s="19">
        <v>2</v>
      </c>
      <c r="M16" s="19"/>
      <c r="N16" s="19">
        <v>2</v>
      </c>
      <c r="O16" s="19">
        <v>2</v>
      </c>
      <c r="P16" s="19">
        <v>2</v>
      </c>
      <c r="Q16" s="19">
        <v>2</v>
      </c>
      <c r="R16" s="19">
        <v>2</v>
      </c>
      <c r="S16" s="19">
        <v>2</v>
      </c>
      <c r="T16" s="19">
        <v>2</v>
      </c>
      <c r="U16" s="19" t="s">
        <v>0</v>
      </c>
      <c r="V16" s="19">
        <v>2</v>
      </c>
      <c r="W16" s="19">
        <v>2</v>
      </c>
      <c r="X16" s="19">
        <v>2</v>
      </c>
      <c r="Y16" s="19">
        <v>2</v>
      </c>
      <c r="Z16" s="19">
        <v>2</v>
      </c>
      <c r="AA16" s="19">
        <v>2</v>
      </c>
      <c r="AB16" s="19"/>
      <c r="AC16" s="20" t="e">
        <f>(COUNTIF(G16:AA16,#REF!)+ COUNTIF(G16:AA16,#REF!))/AB16</f>
        <v>#DIV/0!</v>
      </c>
      <c r="AD16" s="21" t="e">
        <f t="shared" si="0"/>
        <v>#DIV/0!</v>
      </c>
      <c r="AE16" s="22"/>
    </row>
    <row r="17" spans="1:31" x14ac:dyDescent="0.3">
      <c r="A17" s="15" t="s">
        <v>39</v>
      </c>
      <c r="B17" s="15" t="s">
        <v>41</v>
      </c>
      <c r="C17" s="16"/>
      <c r="D17" s="16"/>
      <c r="E17" s="29"/>
      <c r="F17" s="30">
        <v>45505</v>
      </c>
      <c r="G17" s="19"/>
      <c r="H17" s="19"/>
      <c r="I17" s="19"/>
      <c r="J17" s="19"/>
      <c r="K17" s="19">
        <v>2</v>
      </c>
      <c r="L17" s="19">
        <v>2</v>
      </c>
      <c r="M17" s="19"/>
      <c r="N17" s="19">
        <v>2</v>
      </c>
      <c r="O17" s="19">
        <v>2</v>
      </c>
      <c r="P17" s="19">
        <v>2</v>
      </c>
      <c r="Q17" s="19">
        <v>2</v>
      </c>
      <c r="R17" s="19">
        <v>2</v>
      </c>
      <c r="S17" s="19">
        <v>2</v>
      </c>
      <c r="T17" s="19">
        <v>2</v>
      </c>
      <c r="U17" s="19" t="s">
        <v>0</v>
      </c>
      <c r="V17" s="19">
        <v>2</v>
      </c>
      <c r="W17" s="19">
        <v>2</v>
      </c>
      <c r="X17" s="19">
        <v>2</v>
      </c>
      <c r="Y17" s="19">
        <v>2</v>
      </c>
      <c r="Z17" s="19">
        <v>2</v>
      </c>
      <c r="AA17" s="19">
        <v>2</v>
      </c>
      <c r="AB17" s="19"/>
      <c r="AC17" s="20" t="e">
        <f>(COUNTIF(G17:AA17,#REF!)+ COUNTIF(G17:AA17,#REF!))/AB17</f>
        <v>#DIV/0!</v>
      </c>
      <c r="AD17" s="21" t="e">
        <f t="shared" si="0"/>
        <v>#DIV/0!</v>
      </c>
      <c r="AE17" s="22"/>
    </row>
    <row r="18" spans="1:31" x14ac:dyDescent="0.3">
      <c r="A18" s="15" t="s">
        <v>39</v>
      </c>
      <c r="B18" s="15" t="s">
        <v>41</v>
      </c>
      <c r="C18" s="16"/>
      <c r="D18" s="16"/>
      <c r="E18" s="29"/>
      <c r="F18" s="30">
        <v>45536</v>
      </c>
      <c r="G18" s="19"/>
      <c r="H18" s="19"/>
      <c r="I18" s="19"/>
      <c r="J18" s="19"/>
      <c r="K18" s="19">
        <v>2</v>
      </c>
      <c r="L18" s="19">
        <v>2</v>
      </c>
      <c r="M18" s="19"/>
      <c r="N18" s="19">
        <v>2</v>
      </c>
      <c r="O18" s="19">
        <v>2</v>
      </c>
      <c r="P18" s="19">
        <v>2</v>
      </c>
      <c r="Q18" s="19">
        <v>2</v>
      </c>
      <c r="R18" s="19">
        <v>2</v>
      </c>
      <c r="S18" s="19">
        <v>2</v>
      </c>
      <c r="T18" s="19">
        <v>2</v>
      </c>
      <c r="U18" s="19" t="s">
        <v>0</v>
      </c>
      <c r="V18" s="19">
        <v>2</v>
      </c>
      <c r="W18" s="19">
        <v>2</v>
      </c>
      <c r="X18" s="19">
        <v>2</v>
      </c>
      <c r="Y18" s="19">
        <v>2</v>
      </c>
      <c r="Z18" s="19">
        <v>2</v>
      </c>
      <c r="AA18" s="19">
        <v>2</v>
      </c>
      <c r="AB18" s="19"/>
      <c r="AC18" s="20" t="e">
        <f>(COUNTIF(G18:AA18,#REF!)+ COUNTIF(G18:AA18,#REF!))/AB18</f>
        <v>#DIV/0!</v>
      </c>
      <c r="AD18" s="21" t="e">
        <f t="shared" si="0"/>
        <v>#DIV/0!</v>
      </c>
      <c r="AE18" s="22"/>
    </row>
    <row r="19" spans="1:31" x14ac:dyDescent="0.3">
      <c r="A19" s="15" t="s">
        <v>39</v>
      </c>
      <c r="B19" s="15" t="s">
        <v>41</v>
      </c>
      <c r="C19" s="16"/>
      <c r="D19" s="16"/>
      <c r="E19" s="29"/>
      <c r="F19" s="30">
        <v>45566</v>
      </c>
      <c r="G19" s="19">
        <v>2</v>
      </c>
      <c r="H19" s="19">
        <v>2</v>
      </c>
      <c r="I19" s="19">
        <v>2</v>
      </c>
      <c r="J19" s="19">
        <v>2</v>
      </c>
      <c r="K19" s="19">
        <v>2</v>
      </c>
      <c r="L19" s="19">
        <v>2</v>
      </c>
      <c r="M19" s="19"/>
      <c r="N19" s="19">
        <v>2</v>
      </c>
      <c r="O19" s="19">
        <v>2</v>
      </c>
      <c r="P19" s="19">
        <v>2</v>
      </c>
      <c r="Q19" s="19">
        <v>2</v>
      </c>
      <c r="R19" s="19">
        <v>2</v>
      </c>
      <c r="S19" s="19">
        <v>2</v>
      </c>
      <c r="T19" s="19">
        <v>2</v>
      </c>
      <c r="U19" s="19">
        <v>2</v>
      </c>
      <c r="V19" s="19">
        <v>2</v>
      </c>
      <c r="W19" s="19">
        <v>2</v>
      </c>
      <c r="X19" s="19">
        <v>2</v>
      </c>
      <c r="Y19" s="19">
        <v>2</v>
      </c>
      <c r="Z19" s="19">
        <v>2</v>
      </c>
      <c r="AA19" s="19">
        <v>2</v>
      </c>
      <c r="AB19" s="19"/>
      <c r="AC19" s="20" t="e">
        <f>(COUNTIF(G19:AA19,#REF!)+ COUNTIF(G19:AA19,#REF!))/AB19</f>
        <v>#DIV/0!</v>
      </c>
      <c r="AD19" s="21" t="e">
        <f t="shared" si="0"/>
        <v>#DIV/0!</v>
      </c>
      <c r="AE19" s="22"/>
    </row>
    <row r="20" spans="1:31" x14ac:dyDescent="0.3">
      <c r="A20" s="15" t="s">
        <v>42</v>
      </c>
      <c r="B20" s="16" t="s">
        <v>43</v>
      </c>
      <c r="C20" s="16"/>
      <c r="D20" s="16"/>
      <c r="E20" s="29"/>
      <c r="F20" s="30">
        <v>45566</v>
      </c>
      <c r="G20" s="19"/>
      <c r="H20" s="19"/>
      <c r="I20" s="19"/>
      <c r="J20" s="19"/>
      <c r="K20" s="19"/>
      <c r="L20" s="19"/>
      <c r="M20" s="19"/>
      <c r="N20" s="19">
        <v>2</v>
      </c>
      <c r="O20" s="19">
        <v>2</v>
      </c>
      <c r="P20" s="19"/>
      <c r="Q20" s="19"/>
      <c r="R20" s="19"/>
      <c r="S20" s="19"/>
      <c r="T20" s="19"/>
      <c r="U20" s="19"/>
      <c r="V20" s="19">
        <v>2</v>
      </c>
      <c r="W20" s="19">
        <v>2</v>
      </c>
      <c r="X20" s="19">
        <v>2</v>
      </c>
      <c r="Y20" s="19">
        <v>2</v>
      </c>
      <c r="Z20" s="19"/>
      <c r="AA20" s="19"/>
      <c r="AB20" s="19"/>
      <c r="AC20" s="20" t="e">
        <f>(COUNTIF(G20:AA20,#REF!)+ COUNTIF(G20:AA20,#REF!))/AB20</f>
        <v>#DIV/0!</v>
      </c>
      <c r="AD20" s="21" t="e">
        <f t="shared" si="0"/>
        <v>#DIV/0!</v>
      </c>
      <c r="AE20" s="22"/>
    </row>
    <row r="21" spans="1:31" x14ac:dyDescent="0.3">
      <c r="A21" s="2" t="s">
        <v>44</v>
      </c>
      <c r="B21" s="15" t="s">
        <v>45</v>
      </c>
      <c r="C21" s="16"/>
      <c r="D21" s="16"/>
      <c r="E21" s="29"/>
      <c r="F21" s="30">
        <v>45292</v>
      </c>
      <c r="G21" s="19"/>
      <c r="H21" s="19"/>
      <c r="I21" s="19"/>
      <c r="J21" s="19"/>
      <c r="K21" s="19">
        <v>2</v>
      </c>
      <c r="L21" s="19">
        <v>2</v>
      </c>
      <c r="M21" s="19"/>
      <c r="N21" s="19">
        <v>2</v>
      </c>
      <c r="O21" s="19">
        <v>2</v>
      </c>
      <c r="P21" s="19">
        <v>2</v>
      </c>
      <c r="Q21" s="19">
        <v>2</v>
      </c>
      <c r="R21" s="19"/>
      <c r="S21" s="19">
        <v>2</v>
      </c>
      <c r="T21" s="19">
        <v>2</v>
      </c>
      <c r="U21" s="19">
        <v>2</v>
      </c>
      <c r="V21" s="19">
        <v>2</v>
      </c>
      <c r="W21" s="19">
        <v>2</v>
      </c>
      <c r="X21" s="19">
        <v>2</v>
      </c>
      <c r="Y21" s="19">
        <v>2</v>
      </c>
      <c r="Z21" s="19"/>
      <c r="AA21" s="19"/>
      <c r="AB21" s="19"/>
      <c r="AC21" s="20" t="e">
        <f>(COUNTIF(G21:AA21,#REF!)+ COUNTIF(G21:AA21,#REF!))/AB21</f>
        <v>#DIV/0!</v>
      </c>
      <c r="AD21" s="21" t="e">
        <f t="shared" si="0"/>
        <v>#DIV/0!</v>
      </c>
      <c r="AE21" s="22"/>
    </row>
    <row r="22" spans="1:31" x14ac:dyDescent="0.3">
      <c r="A22" s="2" t="s">
        <v>44</v>
      </c>
      <c r="B22" s="15" t="s">
        <v>45</v>
      </c>
      <c r="C22" s="16"/>
      <c r="D22" s="16"/>
      <c r="E22" s="29"/>
      <c r="F22" s="30">
        <v>45323</v>
      </c>
      <c r="G22" s="19"/>
      <c r="H22" s="19"/>
      <c r="I22" s="19"/>
      <c r="J22" s="19"/>
      <c r="K22" s="19">
        <v>2</v>
      </c>
      <c r="L22" s="19">
        <v>2</v>
      </c>
      <c r="M22" s="19"/>
      <c r="N22" s="19">
        <v>2</v>
      </c>
      <c r="O22" s="19">
        <v>2</v>
      </c>
      <c r="P22" s="19">
        <v>2</v>
      </c>
      <c r="Q22" s="19">
        <v>2</v>
      </c>
      <c r="R22" s="19"/>
      <c r="S22" s="19">
        <v>2</v>
      </c>
      <c r="T22" s="19">
        <v>2</v>
      </c>
      <c r="U22" s="19">
        <v>2</v>
      </c>
      <c r="V22" s="19">
        <v>2</v>
      </c>
      <c r="W22" s="19">
        <v>2</v>
      </c>
      <c r="X22" s="19">
        <v>2</v>
      </c>
      <c r="Y22" s="19">
        <v>2</v>
      </c>
      <c r="Z22" s="19"/>
      <c r="AA22" s="19"/>
      <c r="AB22" s="19"/>
      <c r="AC22" s="20" t="e">
        <f>(COUNTIF(G22:AA22,#REF!)+ COUNTIF(G22:AA22,#REF!))/AB22</f>
        <v>#DIV/0!</v>
      </c>
      <c r="AD22" s="21" t="e">
        <f t="shared" si="0"/>
        <v>#DIV/0!</v>
      </c>
      <c r="AE22" s="22"/>
    </row>
    <row r="23" spans="1:31" x14ac:dyDescent="0.3">
      <c r="A23" s="2" t="s">
        <v>44</v>
      </c>
      <c r="B23" s="15" t="s">
        <v>45</v>
      </c>
      <c r="C23" s="16"/>
      <c r="D23" s="16"/>
      <c r="E23" s="29"/>
      <c r="F23" s="30">
        <v>45352</v>
      </c>
      <c r="G23" s="19">
        <v>2</v>
      </c>
      <c r="H23" s="19">
        <v>2</v>
      </c>
      <c r="I23" s="19"/>
      <c r="J23" s="19"/>
      <c r="K23" s="19">
        <v>2</v>
      </c>
      <c r="L23" s="19">
        <v>2</v>
      </c>
      <c r="M23" s="19"/>
      <c r="N23" s="19">
        <v>2</v>
      </c>
      <c r="O23" s="19">
        <v>2</v>
      </c>
      <c r="P23" s="19">
        <v>2</v>
      </c>
      <c r="Q23" s="19">
        <v>2</v>
      </c>
      <c r="R23" s="19"/>
      <c r="S23" s="19">
        <v>2</v>
      </c>
      <c r="T23" s="19">
        <v>2</v>
      </c>
      <c r="U23" s="19">
        <v>2</v>
      </c>
      <c r="V23" s="19">
        <v>2</v>
      </c>
      <c r="W23" s="19">
        <v>2</v>
      </c>
      <c r="X23" s="19">
        <v>2</v>
      </c>
      <c r="Y23" s="19">
        <v>2</v>
      </c>
      <c r="Z23" s="19"/>
      <c r="AA23" s="19"/>
      <c r="AB23" s="19"/>
      <c r="AC23" s="20" t="e">
        <f>(COUNTIF(G23:AA23,#REF!)+ COUNTIF(G23:AA23,#REF!))/AB23</f>
        <v>#DIV/0!</v>
      </c>
      <c r="AD23" s="21" t="e">
        <f t="shared" si="0"/>
        <v>#DIV/0!</v>
      </c>
      <c r="AE23" s="22"/>
    </row>
    <row r="24" spans="1:31" x14ac:dyDescent="0.3">
      <c r="A24" s="2" t="s">
        <v>44</v>
      </c>
      <c r="B24" s="15" t="s">
        <v>45</v>
      </c>
      <c r="C24" s="31"/>
      <c r="D24" s="31"/>
      <c r="E24" s="17"/>
      <c r="F24" s="30">
        <v>45383</v>
      </c>
      <c r="G24" s="19"/>
      <c r="H24" s="19"/>
      <c r="I24" s="19"/>
      <c r="J24" s="19"/>
      <c r="K24" s="19">
        <v>2</v>
      </c>
      <c r="L24" s="19">
        <v>2</v>
      </c>
      <c r="M24" s="19"/>
      <c r="N24" s="19">
        <v>2</v>
      </c>
      <c r="O24" s="19">
        <v>2</v>
      </c>
      <c r="P24" s="19">
        <v>2</v>
      </c>
      <c r="Q24" s="19">
        <v>2</v>
      </c>
      <c r="R24" s="19"/>
      <c r="S24" s="19">
        <v>2</v>
      </c>
      <c r="T24" s="19">
        <v>2</v>
      </c>
      <c r="U24" s="19">
        <v>2</v>
      </c>
      <c r="V24" s="19">
        <v>2</v>
      </c>
      <c r="W24" s="19">
        <v>2</v>
      </c>
      <c r="X24" s="19">
        <v>2</v>
      </c>
      <c r="Y24" s="19">
        <v>2</v>
      </c>
      <c r="Z24" s="19"/>
      <c r="AA24" s="19"/>
      <c r="AB24" s="19"/>
      <c r="AC24" s="20" t="e">
        <f>(COUNTIF(G24:AA24,#REF!)+ COUNTIF(G24:AA24,#REF!))/AB24</f>
        <v>#DIV/0!</v>
      </c>
      <c r="AD24" s="21" t="e">
        <f t="shared" si="0"/>
        <v>#DIV/0!</v>
      </c>
      <c r="AE24" s="22"/>
    </row>
    <row r="25" spans="1:31" x14ac:dyDescent="0.3">
      <c r="A25" s="2" t="s">
        <v>44</v>
      </c>
      <c r="B25" s="15" t="s">
        <v>45</v>
      </c>
      <c r="C25" s="28"/>
      <c r="D25" s="28"/>
      <c r="E25" s="29"/>
      <c r="F25" s="30">
        <v>45413</v>
      </c>
      <c r="G25" s="19"/>
      <c r="H25" s="19"/>
      <c r="I25" s="19"/>
      <c r="J25" s="19"/>
      <c r="K25" s="19">
        <v>2</v>
      </c>
      <c r="L25" s="19">
        <v>2</v>
      </c>
      <c r="M25" s="19"/>
      <c r="N25" s="19">
        <v>2</v>
      </c>
      <c r="O25" s="19">
        <v>2</v>
      </c>
      <c r="P25" s="19">
        <v>2</v>
      </c>
      <c r="Q25" s="19">
        <v>0</v>
      </c>
      <c r="R25" s="19"/>
      <c r="S25" s="19">
        <v>2</v>
      </c>
      <c r="T25" s="19">
        <v>2</v>
      </c>
      <c r="U25" s="19">
        <v>2</v>
      </c>
      <c r="V25" s="19">
        <v>2</v>
      </c>
      <c r="W25" s="19">
        <v>2</v>
      </c>
      <c r="X25" s="19">
        <v>2</v>
      </c>
      <c r="Y25" s="19">
        <v>2</v>
      </c>
      <c r="Z25" s="19"/>
      <c r="AA25" s="19"/>
      <c r="AB25" s="19"/>
      <c r="AC25" s="20" t="e">
        <f>(COUNTIF(G25:AA25,#REF!)+ COUNTIF(G25:AA25,#REF!))/AB25</f>
        <v>#DIV/0!</v>
      </c>
      <c r="AD25" s="21" t="e">
        <f t="shared" si="0"/>
        <v>#DIV/0!</v>
      </c>
      <c r="AE25" s="22"/>
    </row>
    <row r="26" spans="1:31" x14ac:dyDescent="0.3">
      <c r="A26" s="2" t="s">
        <v>44</v>
      </c>
      <c r="B26" s="15" t="s">
        <v>45</v>
      </c>
      <c r="C26" s="31"/>
      <c r="D26" s="31"/>
      <c r="E26" s="17"/>
      <c r="F26" s="30">
        <v>45444</v>
      </c>
      <c r="G26" s="19"/>
      <c r="H26" s="19"/>
      <c r="I26" s="19"/>
      <c r="J26" s="19"/>
      <c r="K26" s="19">
        <v>2</v>
      </c>
      <c r="L26" s="19">
        <v>2</v>
      </c>
      <c r="M26" s="19"/>
      <c r="N26" s="19">
        <v>2</v>
      </c>
      <c r="O26" s="19">
        <v>2</v>
      </c>
      <c r="P26" s="19">
        <v>2</v>
      </c>
      <c r="Q26" s="19">
        <v>0</v>
      </c>
      <c r="R26" s="19"/>
      <c r="S26" s="19">
        <v>2</v>
      </c>
      <c r="T26" s="19">
        <v>2</v>
      </c>
      <c r="U26" s="19">
        <v>2</v>
      </c>
      <c r="V26" s="19">
        <v>2</v>
      </c>
      <c r="W26" s="19">
        <v>2</v>
      </c>
      <c r="X26" s="19">
        <v>2</v>
      </c>
      <c r="Y26" s="19">
        <v>2</v>
      </c>
      <c r="Z26" s="19"/>
      <c r="AA26" s="19"/>
      <c r="AB26" s="19"/>
      <c r="AC26" s="20" t="e">
        <f>(COUNTIF(G26:AA26,#REF!)+ COUNTIF(G26:AA26,#REF!))/AB26</f>
        <v>#DIV/0!</v>
      </c>
      <c r="AD26" s="21" t="e">
        <f t="shared" si="0"/>
        <v>#DIV/0!</v>
      </c>
      <c r="AE26" s="22"/>
    </row>
    <row r="27" spans="1:31" x14ac:dyDescent="0.3">
      <c r="A27" s="2" t="s">
        <v>44</v>
      </c>
      <c r="B27" s="15" t="s">
        <v>45</v>
      </c>
      <c r="C27" s="15"/>
      <c r="D27" s="15"/>
      <c r="E27" s="17"/>
      <c r="F27" s="30">
        <v>45474</v>
      </c>
      <c r="G27" s="19"/>
      <c r="H27" s="19">
        <v>2</v>
      </c>
      <c r="I27" s="19"/>
      <c r="J27" s="19"/>
      <c r="K27" s="19">
        <v>2</v>
      </c>
      <c r="L27" s="19">
        <v>2</v>
      </c>
      <c r="M27" s="19"/>
      <c r="N27" s="19">
        <v>2</v>
      </c>
      <c r="O27" s="19">
        <v>2</v>
      </c>
      <c r="P27" s="19">
        <v>2</v>
      </c>
      <c r="Q27" s="19">
        <v>2</v>
      </c>
      <c r="R27" s="19"/>
      <c r="S27" s="19">
        <v>2</v>
      </c>
      <c r="T27" s="19">
        <v>2</v>
      </c>
      <c r="U27" s="19">
        <v>2</v>
      </c>
      <c r="V27" s="19">
        <v>2</v>
      </c>
      <c r="W27" s="19">
        <v>2</v>
      </c>
      <c r="X27" s="19">
        <v>2</v>
      </c>
      <c r="Y27" s="19">
        <v>2</v>
      </c>
      <c r="Z27" s="19"/>
      <c r="AA27" s="19"/>
      <c r="AB27" s="19"/>
      <c r="AC27" s="20" t="e">
        <f>(COUNTIF(G27:AA27,#REF!)+ COUNTIF(G27:AA27,#REF!))/AB27</f>
        <v>#DIV/0!</v>
      </c>
      <c r="AD27" s="21" t="e">
        <f t="shared" si="0"/>
        <v>#DIV/0!</v>
      </c>
      <c r="AE27" s="22"/>
    </row>
    <row r="28" spans="1:31" x14ac:dyDescent="0.3">
      <c r="A28" s="2" t="s">
        <v>44</v>
      </c>
      <c r="B28" s="15" t="s">
        <v>45</v>
      </c>
      <c r="C28" s="15"/>
      <c r="D28" s="15"/>
      <c r="E28" s="17"/>
      <c r="F28" s="30">
        <v>45505</v>
      </c>
      <c r="G28" s="19"/>
      <c r="H28" s="19"/>
      <c r="I28" s="19"/>
      <c r="J28" s="19"/>
      <c r="K28" s="19">
        <v>2</v>
      </c>
      <c r="L28" s="19">
        <v>2</v>
      </c>
      <c r="M28" s="19"/>
      <c r="N28" s="19">
        <v>2</v>
      </c>
      <c r="O28" s="19">
        <v>2</v>
      </c>
      <c r="P28" s="19">
        <v>2</v>
      </c>
      <c r="Q28" s="19">
        <v>2</v>
      </c>
      <c r="R28" s="19"/>
      <c r="S28" s="19">
        <v>2</v>
      </c>
      <c r="T28" s="19">
        <v>2</v>
      </c>
      <c r="U28" s="19">
        <v>2</v>
      </c>
      <c r="V28" s="19">
        <v>2</v>
      </c>
      <c r="W28" s="19">
        <v>2</v>
      </c>
      <c r="X28" s="19">
        <v>2</v>
      </c>
      <c r="Y28" s="19">
        <v>2</v>
      </c>
      <c r="Z28" s="19"/>
      <c r="AA28" s="19"/>
      <c r="AB28" s="19"/>
      <c r="AC28" s="20" t="e">
        <f>(COUNTIF(G28:AA28,#REF!)+ COUNTIF(G28:AA28,#REF!))/AB28</f>
        <v>#DIV/0!</v>
      </c>
      <c r="AD28" s="21" t="e">
        <f t="shared" si="0"/>
        <v>#DIV/0!</v>
      </c>
      <c r="AE28" s="22"/>
    </row>
    <row r="29" spans="1:31" x14ac:dyDescent="0.3">
      <c r="A29" s="2" t="s">
        <v>44</v>
      </c>
      <c r="B29" s="15" t="s">
        <v>45</v>
      </c>
      <c r="C29" s="15"/>
      <c r="D29" s="15"/>
      <c r="E29" s="17"/>
      <c r="F29" s="30">
        <v>45536</v>
      </c>
      <c r="G29" s="19">
        <v>2</v>
      </c>
      <c r="H29" s="19"/>
      <c r="I29" s="19"/>
      <c r="J29" s="19"/>
      <c r="K29" s="19">
        <v>2</v>
      </c>
      <c r="L29" s="19">
        <v>2</v>
      </c>
      <c r="M29" s="19"/>
      <c r="N29" s="19">
        <v>2</v>
      </c>
      <c r="O29" s="19">
        <v>2</v>
      </c>
      <c r="P29" s="19">
        <v>2</v>
      </c>
      <c r="Q29" s="19">
        <v>2</v>
      </c>
      <c r="R29" s="19"/>
      <c r="S29" s="19">
        <v>2</v>
      </c>
      <c r="T29" s="19">
        <v>2</v>
      </c>
      <c r="U29" s="19">
        <v>2</v>
      </c>
      <c r="V29" s="19">
        <v>2</v>
      </c>
      <c r="W29" s="19">
        <v>2</v>
      </c>
      <c r="X29" s="19">
        <v>2</v>
      </c>
      <c r="Y29" s="19">
        <v>2</v>
      </c>
      <c r="Z29" s="19"/>
      <c r="AA29" s="19"/>
      <c r="AB29" s="19"/>
      <c r="AC29" s="20" t="e">
        <f>(COUNTIF(G29:AA29,#REF!)+ COUNTIF(G29:AA29,#REF!))/AB29</f>
        <v>#DIV/0!</v>
      </c>
      <c r="AD29" s="21" t="e">
        <f t="shared" si="0"/>
        <v>#DIV/0!</v>
      </c>
      <c r="AE29" s="22"/>
    </row>
    <row r="30" spans="1:31" x14ac:dyDescent="0.3">
      <c r="A30" s="2" t="s">
        <v>44</v>
      </c>
      <c r="B30" s="15" t="s">
        <v>45</v>
      </c>
      <c r="C30" s="15"/>
      <c r="D30" s="15"/>
      <c r="E30" s="17"/>
      <c r="F30" s="30">
        <v>45566</v>
      </c>
      <c r="G30" s="19"/>
      <c r="H30" s="19"/>
      <c r="I30" s="19"/>
      <c r="J30" s="19"/>
      <c r="K30" s="19">
        <v>2</v>
      </c>
      <c r="L30" s="19">
        <v>2</v>
      </c>
      <c r="M30" s="19"/>
      <c r="N30" s="19">
        <v>2</v>
      </c>
      <c r="O30" s="19">
        <v>2</v>
      </c>
      <c r="P30" s="19">
        <v>2</v>
      </c>
      <c r="Q30" s="19">
        <v>2</v>
      </c>
      <c r="R30" s="19"/>
      <c r="S30" s="19">
        <v>2</v>
      </c>
      <c r="T30" s="19">
        <v>2</v>
      </c>
      <c r="U30" s="19">
        <v>2</v>
      </c>
      <c r="V30" s="19">
        <v>2</v>
      </c>
      <c r="W30" s="19">
        <v>2</v>
      </c>
      <c r="X30" s="19">
        <v>2</v>
      </c>
      <c r="Y30" s="19">
        <v>2</v>
      </c>
      <c r="Z30" s="19"/>
      <c r="AA30" s="19"/>
      <c r="AB30" s="19"/>
      <c r="AC30" s="20" t="e">
        <f>(COUNTIF(G30:AA30,#REF!)+ COUNTIF(G30:AA30,#REF!))/AB30</f>
        <v>#DIV/0!</v>
      </c>
      <c r="AD30" s="21" t="e">
        <f t="shared" si="0"/>
        <v>#DIV/0!</v>
      </c>
      <c r="AE30" s="22"/>
    </row>
    <row r="31" spans="1:31" x14ac:dyDescent="0.3">
      <c r="A31" s="2" t="s">
        <v>44</v>
      </c>
      <c r="B31" s="15" t="s">
        <v>45</v>
      </c>
      <c r="C31" s="15"/>
      <c r="D31" s="15"/>
      <c r="E31" s="17"/>
      <c r="F31" s="30">
        <v>45597</v>
      </c>
      <c r="G31" s="19">
        <v>2</v>
      </c>
      <c r="H31" s="19">
        <v>2</v>
      </c>
      <c r="I31" s="19">
        <v>2</v>
      </c>
      <c r="J31" s="19">
        <v>2</v>
      </c>
      <c r="K31" s="19">
        <v>2</v>
      </c>
      <c r="L31" s="19">
        <v>2</v>
      </c>
      <c r="M31" s="19"/>
      <c r="N31" s="19">
        <v>2</v>
      </c>
      <c r="O31" s="19">
        <v>2</v>
      </c>
      <c r="P31" s="19"/>
      <c r="Q31" s="19"/>
      <c r="R31" s="19"/>
      <c r="S31" s="19">
        <v>2</v>
      </c>
      <c r="T31" s="19">
        <v>2</v>
      </c>
      <c r="U31" s="19">
        <v>2</v>
      </c>
      <c r="V31" s="19">
        <v>2</v>
      </c>
      <c r="W31" s="19">
        <v>2</v>
      </c>
      <c r="X31" s="19">
        <v>2</v>
      </c>
      <c r="Y31" s="19">
        <v>2</v>
      </c>
      <c r="Z31" s="19"/>
      <c r="AA31" s="19"/>
      <c r="AB31" s="19"/>
      <c r="AC31" s="20" t="e">
        <f>(COUNTIF(G31:AA31,#REF!)+ COUNTIF(G31:AA31,#REF!))/AB31</f>
        <v>#DIV/0!</v>
      </c>
      <c r="AD31" s="21" t="e">
        <f t="shared" si="0"/>
        <v>#DIV/0!</v>
      </c>
      <c r="AE31" s="22"/>
    </row>
    <row r="32" spans="1:31" x14ac:dyDescent="0.3">
      <c r="A32" s="2" t="s">
        <v>44</v>
      </c>
      <c r="B32" s="15" t="s">
        <v>46</v>
      </c>
      <c r="C32" s="15"/>
      <c r="D32" s="15"/>
      <c r="E32" s="17"/>
      <c r="F32" s="18">
        <v>45536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20" t="e">
        <f>(COUNTIF(G32:AA32,#REF!)+ COUNTIF(G32:AA32,#REF!))/AB32</f>
        <v>#DIV/0!</v>
      </c>
      <c r="AD32" s="21" t="e">
        <f t="shared" si="0"/>
        <v>#DIV/0!</v>
      </c>
      <c r="AE32" s="22"/>
    </row>
    <row r="33" spans="1:31" x14ac:dyDescent="0.3">
      <c r="A33" s="2" t="s">
        <v>44</v>
      </c>
      <c r="B33" s="15" t="s">
        <v>46</v>
      </c>
      <c r="C33" s="15"/>
      <c r="D33" s="15"/>
      <c r="E33" s="17"/>
      <c r="F33" s="18">
        <v>45566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20" t="e">
        <f>(COUNTIF(G33:AA33,#REF!)+ COUNTIF(G33:AA33,#REF!))/AB33</f>
        <v>#DIV/0!</v>
      </c>
      <c r="AD33" s="21" t="e">
        <f t="shared" si="0"/>
        <v>#DIV/0!</v>
      </c>
      <c r="AE33" s="22"/>
    </row>
    <row r="34" spans="1:31" x14ac:dyDescent="0.3">
      <c r="A34" s="15"/>
      <c r="B34" s="15"/>
      <c r="C34" s="15"/>
      <c r="D34" s="15"/>
      <c r="E34" s="17"/>
      <c r="F34" s="17"/>
      <c r="G34" s="19"/>
      <c r="H34" s="19">
        <v>2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20" t="e">
        <f>(COUNTIF(G34:AA34,#REF!)+ COUNTIF(G34:AA34,#REF!))/AB34</f>
        <v>#DIV/0!</v>
      </c>
      <c r="AD34" s="21" t="e">
        <f t="shared" si="0"/>
        <v>#DIV/0!</v>
      </c>
      <c r="AE34" s="22"/>
    </row>
    <row r="35" spans="1:31" x14ac:dyDescent="0.3">
      <c r="A35" s="35"/>
      <c r="B35" s="35"/>
      <c r="C35" s="35"/>
      <c r="D35" s="35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20" t="e">
        <f>(COUNTIF(G35:AA35,#REF!)+ COUNTIF(G35:AA35,#REF!))/AB35</f>
        <v>#DIV/0!</v>
      </c>
      <c r="AD35" s="21" t="e">
        <f t="shared" si="0"/>
        <v>#DIV/0!</v>
      </c>
      <c r="AE35" s="22"/>
    </row>
    <row r="36" spans="1:31" x14ac:dyDescent="0.3">
      <c r="A36" s="35" t="s">
        <v>39</v>
      </c>
      <c r="B36" s="35" t="s">
        <v>41</v>
      </c>
      <c r="C36" s="36" t="s">
        <v>47</v>
      </c>
      <c r="D36" s="36"/>
      <c r="E36" s="37"/>
      <c r="F36" s="38">
        <v>45717</v>
      </c>
      <c r="G36" s="19">
        <v>2</v>
      </c>
      <c r="H36" s="19">
        <v>2</v>
      </c>
      <c r="I36" s="19">
        <v>2</v>
      </c>
      <c r="J36" s="19">
        <v>2</v>
      </c>
      <c r="K36" s="19"/>
      <c r="L36" s="19">
        <v>2</v>
      </c>
      <c r="M36" s="19"/>
      <c r="N36" s="19"/>
      <c r="O36" s="19"/>
      <c r="P36" s="19">
        <v>2</v>
      </c>
      <c r="Q36" s="19">
        <v>2</v>
      </c>
      <c r="R36" s="19">
        <v>2</v>
      </c>
      <c r="S36" s="19">
        <v>2</v>
      </c>
      <c r="T36" s="19"/>
      <c r="U36" s="19"/>
      <c r="V36" s="19"/>
      <c r="W36" s="19"/>
      <c r="X36" s="19"/>
      <c r="Y36" s="19"/>
      <c r="Z36" s="19"/>
      <c r="AA36" s="19"/>
      <c r="AB36" s="19"/>
      <c r="AC36" s="39" t="e">
        <f>(COUNTIF(G36:AA36,#REF!)+ COUNTIF(G36:AA36,#REF!))/AB36</f>
        <v>#DIV/0!</v>
      </c>
      <c r="AD36" s="21" t="e">
        <f t="shared" si="0"/>
        <v>#DIV/0!</v>
      </c>
      <c r="AE36" s="22"/>
    </row>
    <row r="37" spans="1:31" x14ac:dyDescent="0.3">
      <c r="A37" s="35" t="s">
        <v>39</v>
      </c>
      <c r="B37" s="35" t="s">
        <v>48</v>
      </c>
      <c r="C37" s="40" t="s">
        <v>49</v>
      </c>
      <c r="D37" s="40"/>
      <c r="E37" s="19"/>
      <c r="F37" s="41">
        <v>45717</v>
      </c>
      <c r="G37" s="19">
        <v>2</v>
      </c>
      <c r="H37" s="19">
        <v>2</v>
      </c>
      <c r="I37" s="19">
        <v>2</v>
      </c>
      <c r="J37" s="19">
        <v>2</v>
      </c>
      <c r="K37" s="19"/>
      <c r="L37" s="19">
        <v>2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20" t="e">
        <f>(COUNTIF(G37:AA37,#REF!)+ COUNTIF(G37:AA37,#REF!))/AB37</f>
        <v>#DIV/0!</v>
      </c>
      <c r="AD37" s="21" t="e">
        <f t="shared" si="0"/>
        <v>#DIV/0!</v>
      </c>
      <c r="AE37" s="22"/>
    </row>
    <row r="38" spans="1:31" x14ac:dyDescent="0.3">
      <c r="A38" s="35" t="s">
        <v>39</v>
      </c>
      <c r="B38" s="35" t="s">
        <v>40</v>
      </c>
      <c r="C38" s="40" t="s">
        <v>50</v>
      </c>
      <c r="D38" s="40"/>
      <c r="E38" s="19"/>
      <c r="F38" s="41">
        <v>45717</v>
      </c>
      <c r="G38" s="19">
        <v>2</v>
      </c>
      <c r="H38" s="19">
        <v>2</v>
      </c>
      <c r="I38" s="19">
        <v>2</v>
      </c>
      <c r="J38" s="19">
        <v>2</v>
      </c>
      <c r="K38" s="19"/>
      <c r="L38" s="19">
        <v>2</v>
      </c>
      <c r="M38" s="19"/>
      <c r="N38" s="19"/>
      <c r="O38" s="19"/>
      <c r="P38" s="19"/>
      <c r="Q38" s="19"/>
      <c r="R38" s="19">
        <v>2</v>
      </c>
      <c r="S38" s="19">
        <v>2</v>
      </c>
      <c r="T38" s="19"/>
      <c r="U38" s="19"/>
      <c r="V38" s="19"/>
      <c r="W38" s="19"/>
      <c r="X38" s="19"/>
      <c r="Y38" s="19"/>
      <c r="Z38" s="19"/>
      <c r="AA38" s="19"/>
      <c r="AB38" s="19"/>
      <c r="AC38" s="39" t="e">
        <f>(COUNTIF(G38:AA38,#REF!)+ COUNTIF(G38:AA38,#REF!))/AB38</f>
        <v>#DIV/0!</v>
      </c>
      <c r="AD38" s="21" t="e">
        <f t="shared" si="0"/>
        <v>#DIV/0!</v>
      </c>
      <c r="AE38" s="22"/>
    </row>
    <row r="39" spans="1:31" x14ac:dyDescent="0.3">
      <c r="A39" s="40" t="s">
        <v>39</v>
      </c>
      <c r="B39" s="42" t="s">
        <v>51</v>
      </c>
      <c r="C39" s="36" t="s">
        <v>52</v>
      </c>
      <c r="D39" s="36"/>
      <c r="E39" s="37"/>
      <c r="F39" s="41">
        <v>45748</v>
      </c>
      <c r="G39" s="19">
        <v>2</v>
      </c>
      <c r="H39" s="19">
        <v>2</v>
      </c>
      <c r="I39" s="19">
        <v>2</v>
      </c>
      <c r="J39" s="19">
        <v>2</v>
      </c>
      <c r="K39" s="19">
        <v>2</v>
      </c>
      <c r="L39" s="19">
        <v>2</v>
      </c>
      <c r="M39" s="19"/>
      <c r="N39" s="19"/>
      <c r="O39" s="19"/>
      <c r="P39" s="19"/>
      <c r="Q39" s="19"/>
      <c r="R39" s="19"/>
      <c r="S39" s="19"/>
      <c r="T39" s="19">
        <v>2</v>
      </c>
      <c r="U39" s="19"/>
      <c r="V39" s="19"/>
      <c r="W39" s="19"/>
      <c r="X39" s="19"/>
      <c r="Y39" s="19"/>
      <c r="Z39" s="19"/>
      <c r="AA39" s="19"/>
      <c r="AB39" s="19"/>
      <c r="AC39" s="20" t="e">
        <f>(COUNTIF(G39:AA39,#REF!)+ COUNTIF(G39:AA39,#REF!))/AB39</f>
        <v>#DIV/0!</v>
      </c>
      <c r="AD39" s="21" t="e">
        <f t="shared" si="0"/>
        <v>#DIV/0!</v>
      </c>
      <c r="AE39" s="22"/>
    </row>
    <row r="40" spans="1:31" x14ac:dyDescent="0.3">
      <c r="A40" s="35" t="s">
        <v>39</v>
      </c>
      <c r="B40" s="35" t="s">
        <v>40</v>
      </c>
      <c r="C40" s="40" t="s">
        <v>50</v>
      </c>
      <c r="D40" s="40"/>
      <c r="E40" s="19"/>
      <c r="F40" s="41">
        <v>45748</v>
      </c>
      <c r="G40" s="19">
        <v>2</v>
      </c>
      <c r="H40" s="19">
        <v>2</v>
      </c>
      <c r="I40" s="19">
        <v>2</v>
      </c>
      <c r="J40" s="19">
        <v>2</v>
      </c>
      <c r="K40" s="19"/>
      <c r="L40" s="19">
        <v>2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39" t="e">
        <f>(COUNTIF(G40:AA40,#REF!)+ COUNTIF(G40:AA40,#REF!))/AB40</f>
        <v>#DIV/0!</v>
      </c>
      <c r="AD40" s="21" t="e">
        <f t="shared" si="0"/>
        <v>#DIV/0!</v>
      </c>
      <c r="AE40" s="22"/>
    </row>
    <row r="41" spans="1:31" x14ac:dyDescent="0.3">
      <c r="A41" s="35" t="s">
        <v>39</v>
      </c>
      <c r="B41" s="42" t="s">
        <v>53</v>
      </c>
      <c r="C41" s="36" t="s">
        <v>54</v>
      </c>
      <c r="D41" s="36"/>
      <c r="E41" s="37"/>
      <c r="F41" s="38">
        <v>45778</v>
      </c>
      <c r="G41" s="19">
        <v>2</v>
      </c>
      <c r="H41" s="19"/>
      <c r="I41" s="19">
        <v>2</v>
      </c>
      <c r="J41" s="19"/>
      <c r="K41" s="19"/>
      <c r="L41" s="19"/>
      <c r="M41" s="19"/>
      <c r="N41" s="19"/>
      <c r="O41" s="19"/>
      <c r="P41" s="19">
        <v>2</v>
      </c>
      <c r="Q41" s="19">
        <v>2</v>
      </c>
      <c r="R41" s="19">
        <v>2</v>
      </c>
      <c r="S41" s="19">
        <v>2</v>
      </c>
      <c r="T41" s="19"/>
      <c r="U41" s="19">
        <v>2</v>
      </c>
      <c r="V41" s="19"/>
      <c r="W41" s="19"/>
      <c r="X41" s="19"/>
      <c r="Y41" s="19"/>
      <c r="Z41" s="19"/>
      <c r="AA41" s="19">
        <v>2</v>
      </c>
      <c r="AB41" s="19"/>
      <c r="AC41" s="20" t="e">
        <f>(COUNTIF(G41:AA41,#REF!)+ COUNTIF(G41:AA41,#REF!))/AB41</f>
        <v>#DIV/0!</v>
      </c>
      <c r="AD41" s="21" t="e">
        <f t="shared" si="0"/>
        <v>#DIV/0!</v>
      </c>
      <c r="AE41" s="22"/>
    </row>
    <row r="42" spans="1:31" x14ac:dyDescent="0.3">
      <c r="A42" s="35" t="s">
        <v>39</v>
      </c>
      <c r="B42" s="35" t="s">
        <v>55</v>
      </c>
      <c r="C42" s="36" t="s">
        <v>56</v>
      </c>
      <c r="D42" s="40"/>
      <c r="E42" s="19"/>
      <c r="F42" s="38">
        <v>45870</v>
      </c>
      <c r="G42" s="19">
        <v>2</v>
      </c>
      <c r="H42" s="19">
        <v>2</v>
      </c>
      <c r="I42" s="19">
        <v>2</v>
      </c>
      <c r="J42" s="19">
        <v>2</v>
      </c>
      <c r="K42" s="19">
        <v>2</v>
      </c>
      <c r="L42" s="19">
        <v>2</v>
      </c>
      <c r="M42" s="19"/>
      <c r="N42" s="19"/>
      <c r="O42" s="19"/>
      <c r="P42" s="19">
        <v>2</v>
      </c>
      <c r="Q42" s="19">
        <v>2</v>
      </c>
      <c r="R42" s="19">
        <v>2</v>
      </c>
      <c r="S42" s="19"/>
      <c r="T42" s="19">
        <v>2</v>
      </c>
      <c r="U42" s="19"/>
      <c r="V42" s="19">
        <v>2</v>
      </c>
      <c r="W42" s="19"/>
      <c r="X42" s="19"/>
      <c r="Y42" s="19"/>
      <c r="Z42" s="19">
        <v>2</v>
      </c>
      <c r="AA42" s="19">
        <v>2</v>
      </c>
      <c r="AB42" s="19"/>
      <c r="AC42" s="20" t="e">
        <f>(COUNTIF(G42:AA42,#REF!)+ COUNTIF(G42:AA42,#REF!))/AB42</f>
        <v>#DIV/0!</v>
      </c>
      <c r="AD42" s="21" t="e">
        <f t="shared" si="0"/>
        <v>#DIV/0!</v>
      </c>
      <c r="AE42" s="22"/>
    </row>
    <row r="43" spans="1:31" x14ac:dyDescent="0.3">
      <c r="A43" s="35" t="s">
        <v>39</v>
      </c>
      <c r="B43" s="35" t="s">
        <v>41</v>
      </c>
      <c r="C43" s="36" t="s">
        <v>47</v>
      </c>
      <c r="D43" s="36"/>
      <c r="E43" s="29"/>
      <c r="F43" s="30">
        <v>45870</v>
      </c>
      <c r="G43" s="19">
        <v>2</v>
      </c>
      <c r="H43" s="19">
        <v>2</v>
      </c>
      <c r="I43" s="19"/>
      <c r="J43" s="19"/>
      <c r="K43" s="19">
        <v>2</v>
      </c>
      <c r="L43" s="19">
        <v>2</v>
      </c>
      <c r="M43" s="19"/>
      <c r="N43" s="19"/>
      <c r="O43" s="19"/>
      <c r="P43" s="19">
        <v>2</v>
      </c>
      <c r="Q43" s="19">
        <v>2</v>
      </c>
      <c r="R43" s="19">
        <v>2</v>
      </c>
      <c r="S43" s="19">
        <v>2</v>
      </c>
      <c r="T43" s="19">
        <v>2</v>
      </c>
      <c r="U43" s="19">
        <v>2</v>
      </c>
      <c r="V43" s="19"/>
      <c r="W43" s="19"/>
      <c r="X43" s="19"/>
      <c r="Y43" s="19"/>
      <c r="Z43" s="19"/>
      <c r="AA43" s="19">
        <v>2</v>
      </c>
      <c r="AB43" s="19"/>
      <c r="AC43" s="20" t="e">
        <f>(COUNTIF(G43:AA43,#REF!)+ COUNTIF(G43:AA43,#REF!))/AB43</f>
        <v>#DIV/0!</v>
      </c>
      <c r="AD43" s="21" t="e">
        <f t="shared" si="0"/>
        <v>#DIV/0!</v>
      </c>
      <c r="AE43" s="22"/>
    </row>
    <row r="44" spans="1:31" x14ac:dyDescent="0.3">
      <c r="A44" s="35" t="s">
        <v>39</v>
      </c>
      <c r="B44" s="35" t="s">
        <v>40</v>
      </c>
      <c r="C44" s="40" t="s">
        <v>50</v>
      </c>
      <c r="D44" s="40"/>
      <c r="E44" s="19"/>
      <c r="F44" s="30">
        <v>45901</v>
      </c>
      <c r="G44" s="19">
        <v>2</v>
      </c>
      <c r="H44" s="19">
        <v>2</v>
      </c>
      <c r="I44" s="19">
        <v>2</v>
      </c>
      <c r="J44" s="19">
        <v>2</v>
      </c>
      <c r="K44" s="19">
        <v>2</v>
      </c>
      <c r="L44" s="19">
        <v>2</v>
      </c>
      <c r="M44" s="19"/>
      <c r="N44" s="19"/>
      <c r="O44" s="19"/>
      <c r="P44" s="19">
        <v>2</v>
      </c>
      <c r="Q44" s="19">
        <v>2</v>
      </c>
      <c r="R44" s="19">
        <v>2</v>
      </c>
      <c r="S44" s="19">
        <v>2</v>
      </c>
      <c r="T44" s="19">
        <v>2</v>
      </c>
      <c r="U44" s="19">
        <v>2</v>
      </c>
      <c r="V44" s="19"/>
      <c r="W44" s="19"/>
      <c r="X44" s="19"/>
      <c r="Y44" s="19"/>
      <c r="Z44" s="19">
        <v>2</v>
      </c>
      <c r="AA44" s="19" t="s">
        <v>57</v>
      </c>
      <c r="AB44" s="19"/>
      <c r="AC44" s="20" t="e">
        <f>(COUNTIF(G44:AA44,#REF!)+ COUNTIF(G44:AA44,#REF!))/AB44</f>
        <v>#DIV/0!</v>
      </c>
      <c r="AD44" s="21" t="e">
        <f t="shared" si="0"/>
        <v>#DIV/0!</v>
      </c>
      <c r="AE44" s="22"/>
    </row>
    <row r="45" spans="1:31" x14ac:dyDescent="0.3">
      <c r="A45" s="35" t="s">
        <v>39</v>
      </c>
      <c r="B45" s="35" t="s">
        <v>55</v>
      </c>
      <c r="C45" s="36" t="s">
        <v>56</v>
      </c>
      <c r="D45" s="40"/>
      <c r="E45" s="19"/>
      <c r="F45" s="38">
        <v>45901</v>
      </c>
      <c r="G45" s="19">
        <v>2</v>
      </c>
      <c r="H45" s="19">
        <v>2</v>
      </c>
      <c r="I45" s="19">
        <v>2</v>
      </c>
      <c r="J45" s="19">
        <v>2</v>
      </c>
      <c r="K45" s="19">
        <v>2</v>
      </c>
      <c r="L45" s="19">
        <v>2</v>
      </c>
      <c r="M45" s="19"/>
      <c r="N45" s="19"/>
      <c r="O45" s="19"/>
      <c r="P45" s="19">
        <v>2</v>
      </c>
      <c r="Q45" s="19">
        <v>2</v>
      </c>
      <c r="R45" s="19">
        <v>2</v>
      </c>
      <c r="S45" s="19">
        <v>2</v>
      </c>
      <c r="T45" s="19">
        <v>2</v>
      </c>
      <c r="U45" s="19">
        <v>2</v>
      </c>
      <c r="V45" s="19">
        <v>2</v>
      </c>
      <c r="W45" s="19">
        <v>2</v>
      </c>
      <c r="X45" s="19">
        <v>2</v>
      </c>
      <c r="Y45" s="19">
        <v>2</v>
      </c>
      <c r="Z45" s="19">
        <v>2</v>
      </c>
      <c r="AA45" s="19">
        <v>2</v>
      </c>
      <c r="AB45" s="19"/>
      <c r="AC45" s="20" t="e">
        <f>(COUNTIF(G45:AA45,#REF!)+ COUNTIF(G45:AA45,#REF!))/AB45</f>
        <v>#DIV/0!</v>
      </c>
      <c r="AD45" s="21" t="e">
        <f t="shared" si="0"/>
        <v>#DIV/0!</v>
      </c>
      <c r="AE45" s="22"/>
    </row>
    <row r="46" spans="1:31" x14ac:dyDescent="0.3">
      <c r="A46" s="35" t="s">
        <v>39</v>
      </c>
      <c r="B46" s="35" t="s">
        <v>40</v>
      </c>
      <c r="C46" s="40" t="s">
        <v>50</v>
      </c>
      <c r="D46" s="28"/>
      <c r="E46" s="29"/>
      <c r="F46" s="30">
        <v>45931</v>
      </c>
      <c r="G46" s="19">
        <v>2</v>
      </c>
      <c r="H46" s="19">
        <v>2</v>
      </c>
      <c r="I46" s="19">
        <v>2</v>
      </c>
      <c r="J46" s="19">
        <v>2</v>
      </c>
      <c r="K46" s="19">
        <v>2</v>
      </c>
      <c r="L46" s="19">
        <v>2</v>
      </c>
      <c r="M46" s="19"/>
      <c r="N46" s="19"/>
      <c r="O46" s="19"/>
      <c r="P46" s="19">
        <v>2</v>
      </c>
      <c r="Q46" s="19">
        <v>2</v>
      </c>
      <c r="R46" s="19">
        <v>2</v>
      </c>
      <c r="S46" s="19">
        <v>2</v>
      </c>
      <c r="T46" s="19">
        <v>2</v>
      </c>
      <c r="U46" s="19">
        <v>2</v>
      </c>
      <c r="V46" s="19"/>
      <c r="W46" s="19"/>
      <c r="X46" s="19"/>
      <c r="Y46" s="19"/>
      <c r="Z46" s="19">
        <v>2</v>
      </c>
      <c r="AA46" s="19" t="s">
        <v>57</v>
      </c>
      <c r="AB46" s="19"/>
      <c r="AC46" s="20" t="e">
        <f>(COUNTIF(G46:AA46,#REF!)+ COUNTIF(G46:AA46,#REF!))/AB46</f>
        <v>#DIV/0!</v>
      </c>
      <c r="AD46" s="21" t="e">
        <f t="shared" si="0"/>
        <v>#DIV/0!</v>
      </c>
      <c r="AE46" s="22"/>
    </row>
    <row r="47" spans="1:31" x14ac:dyDescent="0.3">
      <c r="A47" s="31" t="s">
        <v>39</v>
      </c>
      <c r="B47" s="16" t="s">
        <v>41</v>
      </c>
      <c r="C47" s="36" t="s">
        <v>47</v>
      </c>
      <c r="D47" s="28" t="s">
        <v>58</v>
      </c>
      <c r="E47" s="29">
        <v>684057</v>
      </c>
      <c r="F47" s="30">
        <v>45962</v>
      </c>
      <c r="G47" s="19">
        <v>2</v>
      </c>
      <c r="H47" s="19">
        <v>2</v>
      </c>
      <c r="I47" s="19"/>
      <c r="J47" s="19">
        <v>2</v>
      </c>
      <c r="K47" s="19">
        <v>2</v>
      </c>
      <c r="L47" s="19"/>
      <c r="M47" s="19"/>
      <c r="N47" s="19"/>
      <c r="O47" s="19"/>
      <c r="P47" s="19">
        <v>2</v>
      </c>
      <c r="Q47" s="19"/>
      <c r="R47" s="19">
        <v>2</v>
      </c>
      <c r="S47" s="19">
        <v>2</v>
      </c>
      <c r="T47" s="19"/>
      <c r="U47" s="19"/>
      <c r="V47" s="19"/>
      <c r="W47" s="19"/>
      <c r="X47" s="19"/>
      <c r="Y47" s="19"/>
      <c r="Z47" s="19"/>
      <c r="AA47" s="19">
        <v>2</v>
      </c>
      <c r="AB47" s="19"/>
      <c r="AC47" s="20" t="e">
        <f>(COUNTIF(G47:AA47,#REF!)+ COUNTIF(G47:AA47,#REF!))/AB47</f>
        <v>#DIV/0!</v>
      </c>
      <c r="AD47" s="21" t="e">
        <f t="shared" si="0"/>
        <v>#DIV/0!</v>
      </c>
      <c r="AE47" s="22"/>
    </row>
    <row r="48" spans="1:31" x14ac:dyDescent="0.3">
      <c r="A48" s="15" t="s">
        <v>42</v>
      </c>
      <c r="B48" s="16" t="s">
        <v>43</v>
      </c>
      <c r="C48" s="16"/>
      <c r="D48" s="16"/>
      <c r="E48" s="29"/>
      <c r="F48" s="30">
        <v>45566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 t="e">
        <f>(COUNTIF(G48:S48,#REF!)+ COUNTIF(G48:S48,#REF!))/T48</f>
        <v>#DIV/0!</v>
      </c>
      <c r="V48" s="21" t="e">
        <f t="shared" ref="V48:V63" si="1">IF(U48=100%, "Cumplido","Incumplido")</f>
        <v>#DIV/0!</v>
      </c>
    </row>
    <row r="49" spans="1:22" x14ac:dyDescent="0.3">
      <c r="A49" s="40" t="s">
        <v>39</v>
      </c>
      <c r="B49" s="42" t="s">
        <v>59</v>
      </c>
      <c r="C49" s="36" t="s">
        <v>60</v>
      </c>
      <c r="D49" s="36"/>
      <c r="E49" s="37"/>
      <c r="F49" s="38">
        <v>45748</v>
      </c>
      <c r="G49" s="19">
        <v>2</v>
      </c>
      <c r="H49" s="19">
        <v>2</v>
      </c>
      <c r="I49" s="19"/>
      <c r="J49" s="19">
        <v>2</v>
      </c>
      <c r="K49" s="19"/>
      <c r="L49" s="19">
        <v>2</v>
      </c>
      <c r="M49" s="19"/>
      <c r="N49" s="19"/>
      <c r="O49" s="19"/>
      <c r="P49" s="19"/>
      <c r="Q49" s="19"/>
      <c r="R49" s="19"/>
      <c r="S49" s="19"/>
      <c r="T49" s="19"/>
      <c r="U49" s="20" t="e">
        <f>(COUNTIF(G49:S49,#REF!)+ COUNTIF(G49:S49,#REF!))/T49</f>
        <v>#DIV/0!</v>
      </c>
      <c r="V49" s="21" t="e">
        <f t="shared" si="1"/>
        <v>#DIV/0!</v>
      </c>
    </row>
    <row r="50" spans="1:22" x14ac:dyDescent="0.3">
      <c r="A50" s="40" t="s">
        <v>39</v>
      </c>
      <c r="B50" s="42" t="s">
        <v>61</v>
      </c>
      <c r="C50" s="36" t="s">
        <v>62</v>
      </c>
      <c r="D50" s="4"/>
      <c r="E50" s="36"/>
      <c r="F50" s="41">
        <v>45748</v>
      </c>
      <c r="G50" s="19">
        <v>2</v>
      </c>
      <c r="H50" s="19">
        <v>2</v>
      </c>
      <c r="I50" s="19">
        <v>2</v>
      </c>
      <c r="J50" s="19">
        <v>2</v>
      </c>
      <c r="K50" s="19">
        <v>2</v>
      </c>
      <c r="L50" s="19">
        <v>2</v>
      </c>
      <c r="M50" s="19"/>
      <c r="N50" s="19"/>
      <c r="O50" s="19"/>
      <c r="P50" s="19"/>
      <c r="Q50" s="19"/>
      <c r="R50" s="19"/>
      <c r="S50" s="19"/>
      <c r="T50" s="19"/>
      <c r="U50" s="20" t="e">
        <f>(COUNTIF(F50:S50,#REF!)+ COUNTIF(F50:S50,#REF!))/T50</f>
        <v>#DIV/0!</v>
      </c>
      <c r="V50" s="21" t="e">
        <f t="shared" si="1"/>
        <v>#DIV/0!</v>
      </c>
    </row>
    <row r="51" spans="1:22" x14ac:dyDescent="0.3">
      <c r="A51" s="40" t="s">
        <v>63</v>
      </c>
      <c r="B51" s="42" t="s">
        <v>64</v>
      </c>
      <c r="C51" s="36" t="s">
        <v>56</v>
      </c>
      <c r="D51" s="36"/>
      <c r="E51" s="37" t="s">
        <v>65</v>
      </c>
      <c r="F51" s="38">
        <v>45748</v>
      </c>
      <c r="G51" s="19">
        <v>2</v>
      </c>
      <c r="H51" s="19">
        <v>2</v>
      </c>
      <c r="I51" s="19">
        <v>2</v>
      </c>
      <c r="J51" s="19">
        <v>2</v>
      </c>
      <c r="K51" s="19"/>
      <c r="L51" s="19">
        <v>2</v>
      </c>
      <c r="M51" s="19"/>
      <c r="N51" s="19"/>
      <c r="O51" s="19"/>
      <c r="P51" s="19"/>
      <c r="Q51" s="19"/>
      <c r="R51" s="19">
        <v>2</v>
      </c>
      <c r="S51" s="19">
        <v>2</v>
      </c>
      <c r="T51" s="19"/>
      <c r="U51" s="20" t="e">
        <f>(COUNTIF(G51:S51,#REF!)+ COUNTIF(G51:S51,#REF!))/T51</f>
        <v>#DIV/0!</v>
      </c>
      <c r="V51" s="21" t="e">
        <f t="shared" si="1"/>
        <v>#DIV/0!</v>
      </c>
    </row>
    <row r="52" spans="1:22" x14ac:dyDescent="0.3">
      <c r="A52" s="40" t="s">
        <v>63</v>
      </c>
      <c r="B52" s="42" t="s">
        <v>64</v>
      </c>
      <c r="C52" s="36" t="s">
        <v>56</v>
      </c>
      <c r="D52" s="36"/>
      <c r="E52" s="37" t="s">
        <v>65</v>
      </c>
      <c r="F52" s="38">
        <v>45778</v>
      </c>
      <c r="G52" s="19">
        <v>2</v>
      </c>
      <c r="H52" s="19">
        <v>2</v>
      </c>
      <c r="I52" s="19">
        <v>2</v>
      </c>
      <c r="J52" s="19"/>
      <c r="K52" s="19"/>
      <c r="L52" s="19">
        <v>2</v>
      </c>
      <c r="M52" s="19"/>
      <c r="N52" s="19"/>
      <c r="O52" s="19"/>
      <c r="P52" s="19"/>
      <c r="Q52" s="19"/>
      <c r="R52" s="19">
        <v>2</v>
      </c>
      <c r="S52" s="19">
        <v>2</v>
      </c>
      <c r="T52" s="19"/>
      <c r="U52" s="20" t="e">
        <f>(COUNTIF(G52:S52,#REF!)+ COUNTIF(G52:S52,#REF!))/T52</f>
        <v>#DIV/0!</v>
      </c>
      <c r="V52" s="21" t="e">
        <f t="shared" si="1"/>
        <v>#DIV/0!</v>
      </c>
    </row>
    <row r="53" spans="1:22" x14ac:dyDescent="0.3">
      <c r="A53" s="35" t="s">
        <v>39</v>
      </c>
      <c r="B53" s="35" t="s">
        <v>40</v>
      </c>
      <c r="C53" s="40" t="s">
        <v>50</v>
      </c>
      <c r="D53" s="40"/>
      <c r="E53" s="19" t="s">
        <v>66</v>
      </c>
      <c r="F53" s="38">
        <v>45870</v>
      </c>
      <c r="G53" s="19">
        <v>2</v>
      </c>
      <c r="H53" s="19">
        <v>2</v>
      </c>
      <c r="I53" s="19">
        <v>2</v>
      </c>
      <c r="J53" s="19">
        <v>2</v>
      </c>
      <c r="K53" s="19">
        <v>2</v>
      </c>
      <c r="L53" s="19">
        <v>2</v>
      </c>
      <c r="M53" s="19"/>
      <c r="N53" s="19"/>
      <c r="O53" s="19"/>
      <c r="P53" s="19">
        <v>2</v>
      </c>
      <c r="Q53" s="19">
        <v>2</v>
      </c>
      <c r="R53" s="19">
        <v>2</v>
      </c>
      <c r="S53" s="19"/>
      <c r="T53" s="19"/>
      <c r="U53" s="19"/>
      <c r="V53" s="19"/>
    </row>
    <row r="54" spans="1:22" x14ac:dyDescent="0.3">
      <c r="A54" s="40"/>
      <c r="B54" s="42" t="s">
        <v>67</v>
      </c>
      <c r="C54" s="36" t="s">
        <v>68</v>
      </c>
      <c r="D54" s="36" t="s">
        <v>69</v>
      </c>
      <c r="E54" s="37" t="s">
        <v>70</v>
      </c>
      <c r="F54" s="38">
        <v>45658</v>
      </c>
      <c r="G54" s="19">
        <v>2</v>
      </c>
      <c r="H54" s="19">
        <v>2</v>
      </c>
      <c r="I54" s="19">
        <v>2</v>
      </c>
      <c r="J54" s="19">
        <v>2</v>
      </c>
      <c r="K54" s="19">
        <v>2</v>
      </c>
      <c r="L54" s="19">
        <v>2</v>
      </c>
      <c r="M54" s="19"/>
      <c r="N54" s="19">
        <v>2</v>
      </c>
      <c r="O54" s="19">
        <v>2</v>
      </c>
      <c r="P54" s="19">
        <v>2</v>
      </c>
      <c r="Q54" s="19">
        <v>2</v>
      </c>
      <c r="R54" s="19">
        <v>2</v>
      </c>
      <c r="S54" s="19">
        <v>2</v>
      </c>
      <c r="T54" s="19"/>
      <c r="U54" s="20" t="e">
        <f>(COUNTIF(G54:S54,#REF!)+ COUNTIF(G54:S54,#REF!))/T54</f>
        <v>#DIV/0!</v>
      </c>
      <c r="V54" s="21" t="e">
        <f t="shared" si="1"/>
        <v>#DIV/0!</v>
      </c>
    </row>
    <row r="55" spans="1:22" x14ac:dyDescent="0.3">
      <c r="A55" s="40"/>
      <c r="B55" s="42" t="s">
        <v>43</v>
      </c>
      <c r="C55" s="36"/>
      <c r="D55" s="36"/>
      <c r="E55" s="37"/>
      <c r="F55" s="38">
        <v>9</v>
      </c>
      <c r="G55" s="19">
        <v>2</v>
      </c>
      <c r="H55" s="19"/>
      <c r="I55" s="19"/>
      <c r="J55" s="19"/>
      <c r="K55" s="19">
        <v>2</v>
      </c>
      <c r="L55" s="19">
        <v>2</v>
      </c>
      <c r="M55" s="19"/>
      <c r="N55" s="19"/>
      <c r="O55" s="19"/>
      <c r="P55" s="19"/>
      <c r="Q55" s="19"/>
      <c r="R55" s="19"/>
      <c r="S55" s="19"/>
      <c r="T55" s="19"/>
      <c r="U55" s="20" t="e">
        <f>(COUNTIF(G55:S55,#REF!)+ COUNTIF(G55:S55,#REF!))/T55</f>
        <v>#DIV/0!</v>
      </c>
      <c r="V55" s="21" t="e">
        <f t="shared" si="1"/>
        <v>#DIV/0!</v>
      </c>
    </row>
    <row r="56" spans="1:22" x14ac:dyDescent="0.3">
      <c r="A56" s="40"/>
      <c r="B56" s="42" t="s">
        <v>67</v>
      </c>
      <c r="C56" s="36" t="s">
        <v>68</v>
      </c>
      <c r="D56" s="36"/>
      <c r="E56" s="37"/>
      <c r="F56" s="38">
        <v>45901</v>
      </c>
      <c r="G56" s="19"/>
      <c r="H56" s="19"/>
      <c r="I56" s="19"/>
      <c r="J56" s="19"/>
      <c r="K56" s="19">
        <v>2</v>
      </c>
      <c r="L56" s="19">
        <v>2</v>
      </c>
      <c r="M56" s="19"/>
      <c r="N56" s="19">
        <v>2</v>
      </c>
      <c r="O56" s="19">
        <v>2</v>
      </c>
      <c r="P56" s="19">
        <v>2</v>
      </c>
      <c r="Q56" s="19">
        <v>2</v>
      </c>
      <c r="R56" s="19">
        <v>2</v>
      </c>
      <c r="S56" s="19">
        <v>2</v>
      </c>
      <c r="T56" s="19"/>
      <c r="U56" s="20" t="e">
        <f>(COUNTIF(G56:S56,#REF!)+ COUNTIF(G56:S56,#REF!))/T56</f>
        <v>#DIV/0!</v>
      </c>
      <c r="V56" s="21" t="e">
        <f t="shared" si="1"/>
        <v>#DIV/0!</v>
      </c>
    </row>
    <row r="57" spans="1:22" x14ac:dyDescent="0.3">
      <c r="A57" s="40"/>
      <c r="B57" s="42" t="s">
        <v>43</v>
      </c>
      <c r="C57" s="36"/>
      <c r="D57" s="36"/>
      <c r="E57" s="37"/>
      <c r="F57" s="38">
        <v>45931</v>
      </c>
      <c r="G57" s="19">
        <v>2</v>
      </c>
      <c r="H57" s="19">
        <v>2</v>
      </c>
      <c r="I57" s="19"/>
      <c r="J57" s="19">
        <v>2</v>
      </c>
      <c r="K57" s="19"/>
      <c r="L57" s="19"/>
      <c r="M57" s="19"/>
      <c r="N57" s="19"/>
      <c r="O57" s="19"/>
      <c r="P57" s="19">
        <v>2</v>
      </c>
      <c r="Q57" s="19">
        <v>2</v>
      </c>
      <c r="R57" s="19"/>
      <c r="S57" s="19"/>
      <c r="T57" s="19"/>
      <c r="U57" s="20" t="e">
        <f>(COUNTIF(G57:S57,#REF!)+ COUNTIF(G57:S57,#REF!))/T57</f>
        <v>#DIV/0!</v>
      </c>
      <c r="V57" s="21" t="e">
        <f t="shared" si="1"/>
        <v>#DIV/0!</v>
      </c>
    </row>
    <row r="58" spans="1:22" x14ac:dyDescent="0.3">
      <c r="A58" s="40"/>
      <c r="B58" s="42" t="s">
        <v>71</v>
      </c>
      <c r="C58" s="36" t="s">
        <v>72</v>
      </c>
      <c r="D58" s="43" t="s">
        <v>73</v>
      </c>
      <c r="E58" s="37"/>
      <c r="F58" s="38">
        <v>45962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20" t="e">
        <f>(COUNTIF(G58:S58,#REF!)+ COUNTIF(G58:S58,#REF!))/T58</f>
        <v>#DIV/0!</v>
      </c>
      <c r="V58" s="21" t="e">
        <f t="shared" si="1"/>
        <v>#DIV/0!</v>
      </c>
    </row>
    <row r="59" spans="1:22" x14ac:dyDescent="0.3">
      <c r="A59" s="40" t="s">
        <v>63</v>
      </c>
      <c r="B59" s="42" t="s">
        <v>64</v>
      </c>
      <c r="C59" s="36" t="s">
        <v>56</v>
      </c>
      <c r="D59" s="36"/>
      <c r="E59" s="37" t="s">
        <v>65</v>
      </c>
      <c r="F59" s="38">
        <v>45962</v>
      </c>
      <c r="G59" s="19">
        <v>2</v>
      </c>
      <c r="H59" s="19">
        <v>2</v>
      </c>
      <c r="I59" s="19">
        <v>2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20" t="e">
        <f>(COUNTIF(G59:S59,#REF!)+ COUNTIF(G59:S59,#REF!))/T59</f>
        <v>#DIV/0!</v>
      </c>
      <c r="V59" s="21" t="e">
        <f t="shared" si="1"/>
        <v>#DIV/0!</v>
      </c>
    </row>
    <row r="60" spans="1:22" x14ac:dyDescent="0.3">
      <c r="A60" s="40"/>
      <c r="B60" s="42" t="s">
        <v>67</v>
      </c>
      <c r="C60" s="36" t="s">
        <v>68</v>
      </c>
      <c r="D60" s="36" t="s">
        <v>69</v>
      </c>
      <c r="E60" s="37" t="s">
        <v>70</v>
      </c>
      <c r="F60" s="38">
        <v>45901</v>
      </c>
      <c r="G60" s="19">
        <v>2</v>
      </c>
      <c r="H60" s="19">
        <v>2</v>
      </c>
      <c r="I60" s="19">
        <v>2</v>
      </c>
      <c r="J60" s="19">
        <v>2</v>
      </c>
      <c r="K60" s="19">
        <v>2</v>
      </c>
      <c r="L60" s="19">
        <v>2</v>
      </c>
      <c r="M60" s="19"/>
      <c r="N60" s="19">
        <v>2</v>
      </c>
      <c r="O60" s="19">
        <v>2</v>
      </c>
      <c r="P60" s="19">
        <v>2</v>
      </c>
      <c r="Q60" s="19">
        <v>2</v>
      </c>
      <c r="R60" s="19"/>
      <c r="S60" s="19"/>
      <c r="T60" s="19"/>
      <c r="U60" s="20" t="e">
        <f>(COUNTIF(G60:S60,#REF!)+ COUNTIF(G60:S60,#REF!))/T60</f>
        <v>#DIV/0!</v>
      </c>
      <c r="V60" s="21" t="e">
        <f t="shared" si="1"/>
        <v>#DIV/0!</v>
      </c>
    </row>
    <row r="61" spans="1:22" x14ac:dyDescent="0.3">
      <c r="A61" s="40" t="s">
        <v>63</v>
      </c>
      <c r="B61" s="42" t="s">
        <v>64</v>
      </c>
      <c r="C61" s="36" t="s">
        <v>56</v>
      </c>
      <c r="D61" s="36"/>
      <c r="E61" s="37" t="s">
        <v>65</v>
      </c>
      <c r="F61" s="38">
        <v>46054</v>
      </c>
      <c r="G61" s="19">
        <v>2</v>
      </c>
      <c r="H61" s="19">
        <v>2</v>
      </c>
      <c r="I61" s="19">
        <v>2</v>
      </c>
      <c r="J61" s="19">
        <v>2</v>
      </c>
      <c r="K61" s="19">
        <v>2</v>
      </c>
      <c r="L61" s="19">
        <v>2</v>
      </c>
      <c r="M61" s="19">
        <v>2</v>
      </c>
      <c r="N61" s="19">
        <v>2</v>
      </c>
      <c r="O61" s="19">
        <v>2</v>
      </c>
      <c r="P61" s="19">
        <v>2</v>
      </c>
      <c r="Q61" s="19">
        <v>2</v>
      </c>
      <c r="R61" s="19">
        <v>2</v>
      </c>
      <c r="S61" s="19">
        <v>2</v>
      </c>
      <c r="T61" s="19"/>
      <c r="U61" s="20" t="e">
        <f>(COUNTIF(G61:S61,#REF!)+ COUNTIF(G61:S61,#REF!))/T61</f>
        <v>#DIV/0!</v>
      </c>
      <c r="V61" s="21" t="e">
        <f t="shared" si="1"/>
        <v>#DIV/0!</v>
      </c>
    </row>
    <row r="62" spans="1:22" x14ac:dyDescent="0.3">
      <c r="A62" s="35" t="s">
        <v>39</v>
      </c>
      <c r="B62" s="35" t="s">
        <v>40</v>
      </c>
      <c r="C62" s="40" t="s">
        <v>50</v>
      </c>
      <c r="D62" s="28"/>
      <c r="E62" s="19" t="s">
        <v>66</v>
      </c>
      <c r="F62" s="44">
        <v>46082</v>
      </c>
      <c r="G62" s="19">
        <v>2</v>
      </c>
      <c r="H62" s="19">
        <v>2</v>
      </c>
      <c r="I62" s="19">
        <v>2</v>
      </c>
      <c r="J62" s="19">
        <v>2</v>
      </c>
      <c r="K62" s="19">
        <v>2</v>
      </c>
      <c r="L62" s="19">
        <v>2</v>
      </c>
      <c r="M62" s="19">
        <v>2</v>
      </c>
      <c r="N62" s="19">
        <v>2</v>
      </c>
      <c r="O62" s="19">
        <v>2</v>
      </c>
      <c r="P62" s="19">
        <v>2</v>
      </c>
      <c r="Q62" s="19">
        <v>2</v>
      </c>
      <c r="R62" s="19">
        <v>2</v>
      </c>
      <c r="S62" s="19">
        <v>2</v>
      </c>
      <c r="T62" s="19"/>
      <c r="U62" s="20" t="e">
        <f>(COUNTIF(G62:S62,#REF!)+ COUNTIF(G62:S62,#REF!))/T62</f>
        <v>#DIV/0!</v>
      </c>
      <c r="V62" s="21" t="e">
        <f t="shared" si="1"/>
        <v>#DIV/0!</v>
      </c>
    </row>
    <row r="63" spans="1:22" x14ac:dyDescent="0.3">
      <c r="A63" s="40" t="s">
        <v>63</v>
      </c>
      <c r="B63" s="42" t="s">
        <v>64</v>
      </c>
      <c r="C63" s="36" t="s">
        <v>56</v>
      </c>
      <c r="D63" s="36"/>
      <c r="E63" s="37" t="s">
        <v>65</v>
      </c>
      <c r="F63" s="38">
        <v>46113</v>
      </c>
      <c r="G63" s="19">
        <v>2</v>
      </c>
      <c r="H63" s="19">
        <v>2</v>
      </c>
      <c r="I63" s="19">
        <v>2</v>
      </c>
      <c r="J63" s="19">
        <v>2</v>
      </c>
      <c r="K63" s="19">
        <v>2</v>
      </c>
      <c r="L63" s="19">
        <v>2</v>
      </c>
      <c r="M63" s="19">
        <v>2</v>
      </c>
      <c r="N63" s="19">
        <v>2</v>
      </c>
      <c r="O63" s="19">
        <v>2</v>
      </c>
      <c r="P63" s="19">
        <v>2</v>
      </c>
      <c r="Q63" s="19">
        <v>2</v>
      </c>
      <c r="R63" s="19">
        <v>2</v>
      </c>
      <c r="S63" s="19">
        <v>2</v>
      </c>
      <c r="T63" s="19"/>
      <c r="U63" s="20" t="e">
        <f>(COUNTIF(G63:S63,#REF!)+ COUNTIF(G63:S63,#REF!))/T63</f>
        <v>#DIV/0!</v>
      </c>
      <c r="V63" s="21" t="e">
        <f t="shared" si="1"/>
        <v>#DIV/0!</v>
      </c>
    </row>
  </sheetData>
  <mergeCells count="8">
    <mergeCell ref="Z1:AA1"/>
    <mergeCell ref="AC1:AD1"/>
    <mergeCell ref="G1:I1"/>
    <mergeCell ref="J1:M1"/>
    <mergeCell ref="N1:O1"/>
    <mergeCell ref="P1:S1"/>
    <mergeCell ref="T1:U1"/>
    <mergeCell ref="V1:Y1"/>
  </mergeCells>
  <conditionalFormatting sqref="G3:U7 W3:AA7 G8:AA47">
    <cfRule type="iconSet" priority="13">
      <iconSet iconSet="3Symbols2" showValue="0">
        <cfvo type="percent" val="0"/>
        <cfvo type="num" val="1"/>
        <cfvo type="num" val="2"/>
      </iconSet>
    </cfRule>
  </conditionalFormatting>
  <conditionalFormatting sqref="V3:V7">
    <cfRule type="iconSet" priority="5">
      <iconSet iconSet="3Symbols2" showValue="0">
        <cfvo type="percent" val="0"/>
        <cfvo type="num" val="1"/>
        <cfvo type="num" val="2"/>
      </iconSet>
    </cfRule>
  </conditionalFormatting>
  <conditionalFormatting sqref="AD2">
    <cfRule type="colorScale" priority="12">
      <colorScale>
        <cfvo type="min"/>
        <cfvo type="max"/>
        <color rgb="FFFF7128"/>
        <color rgb="FFFFEF9C"/>
      </colorScale>
    </cfRule>
  </conditionalFormatting>
  <conditionalFormatting sqref="AD2:AE2">
    <cfRule type="cellIs" dxfId="1" priority="8" operator="equal">
      <formula>"En cumplimiento"</formula>
    </cfRule>
    <cfRule type="cellIs" dxfId="0" priority="10" operator="equal">
      <formula>"Incumplimiento"</formula>
    </cfRule>
  </conditionalFormatting>
  <conditionalFormatting sqref="AE2">
    <cfRule type="colorScale" priority="9">
      <colorScale>
        <cfvo type="min"/>
        <cfvo type="max"/>
        <color rgb="FFFF7128"/>
        <color rgb="FFFFEF9C"/>
      </colorScale>
    </cfRule>
  </conditionalFormatting>
  <conditionalFormatting sqref="G48:S52 G54:S63">
    <cfRule type="iconSet" priority="2">
      <iconSet iconSet="3Symbols2" showValue="0">
        <cfvo type="percent" val="0"/>
        <cfvo type="num" val="1"/>
        <cfvo type="num" val="2"/>
      </iconSet>
    </cfRule>
  </conditionalFormatting>
  <conditionalFormatting sqref="G53:V53">
    <cfRule type="iconSet" priority="1">
      <iconSet iconSet="3Symbols2" showValue="0">
        <cfvo type="percent" val="0"/>
        <cfvo type="num" val="1"/>
        <cfvo type="num" val="2"/>
      </iconSet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Moroyoqui</dc:creator>
  <cp:lastModifiedBy>Miguel Moroyoqui</cp:lastModifiedBy>
  <dcterms:created xsi:type="dcterms:W3CDTF">2026-06-08T23:38:35Z</dcterms:created>
  <dcterms:modified xsi:type="dcterms:W3CDTF">2026-06-08T23:44:16Z</dcterms:modified>
</cp:coreProperties>
</file>